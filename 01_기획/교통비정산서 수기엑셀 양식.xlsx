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8F5E7FF-B159-4554-8287-0BA29D6830C3}" xr6:coauthVersionLast="47" xr6:coauthVersionMax="47" xr10:uidLastSave="{00000000-0000-0000-0000-000000000000}"/>
  <bookViews>
    <workbookView xWindow="-28920" yWindow="-120" windowWidth="29040" windowHeight="16440" tabRatio="804" xr2:uid="{00000000-000D-0000-FFFF-FFFF00000000}"/>
  </bookViews>
  <sheets>
    <sheet name="본문" sheetId="15" r:id="rId1"/>
  </sheets>
  <definedNames>
    <definedName name="_xlnm.Print_Area" localSheetId="0">본문!$A$1:$AL$47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" i="15" l="1"/>
  <c r="H8" i="15"/>
  <c r="AD40" i="15"/>
  <c r="AJ40" i="15" s="1"/>
  <c r="AD39" i="15"/>
  <c r="AJ39" i="15" s="1"/>
  <c r="AD38" i="15"/>
  <c r="AJ38" i="15" s="1"/>
  <c r="AD37" i="15"/>
  <c r="AJ37" i="15" s="1"/>
  <c r="AD36" i="15"/>
  <c r="AJ36" i="15" s="1"/>
  <c r="AD35" i="15"/>
  <c r="AJ35" i="15" s="1"/>
  <c r="AD34" i="15"/>
  <c r="AJ34" i="15" s="1"/>
  <c r="AD33" i="15"/>
  <c r="AJ33" i="15" s="1"/>
  <c r="AD32" i="15"/>
  <c r="AJ32" i="15" s="1"/>
  <c r="AD31" i="15"/>
  <c r="AJ31" i="15" s="1"/>
  <c r="AD30" i="15"/>
  <c r="AJ30" i="15" s="1"/>
  <c r="AD29" i="15"/>
  <c r="AJ29" i="15" s="1"/>
  <c r="AD28" i="15"/>
  <c r="AJ28" i="15" s="1"/>
  <c r="AD27" i="15"/>
  <c r="AJ27" i="15" s="1"/>
  <c r="AD26" i="15"/>
  <c r="AJ26" i="15" s="1"/>
  <c r="AD25" i="15"/>
  <c r="AJ25" i="15" s="1"/>
  <c r="AD24" i="15"/>
  <c r="AJ24" i="15" s="1"/>
  <c r="AD23" i="15"/>
  <c r="AJ23" i="15" s="1"/>
  <c r="AD22" i="15"/>
  <c r="AJ22" i="15" s="1"/>
  <c r="AD21" i="15"/>
  <c r="AJ21" i="15" s="1"/>
  <c r="AD20" i="15"/>
  <c r="AJ20" i="15" s="1"/>
  <c r="AD19" i="15"/>
  <c r="AJ19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JISEOKCHOI</author>
  </authors>
  <commentList>
    <comment ref="H8" authorId="0" shapeId="0" xr:uid="{5E0425C7-B270-4F32-9048-7B75E0438D80}">
      <text>
        <r>
          <rPr>
            <b/>
            <sz val="12"/>
            <color indexed="9"/>
            <rFont val="맑은 고딕"/>
            <family val="3"/>
            <charset val="129"/>
            <scheme val="minor"/>
          </rPr>
          <t>자동계산</t>
        </r>
      </text>
    </comment>
    <comment ref="L15" authorId="0" shapeId="0" xr:uid="{9EB50478-37C6-4F6E-B6EB-ADFB03604B98}">
      <text>
        <r>
          <rPr>
            <b/>
            <sz val="14"/>
            <color indexed="9"/>
            <rFont val="맑은 고딕"/>
            <family val="3"/>
            <charset val="129"/>
            <scheme val="minor"/>
          </rPr>
          <t>http://opinet.co.kr
(전국평균요금적용)
인터넷망 접속 필요</t>
        </r>
      </text>
    </comment>
    <comment ref="AD19" authorId="0" shapeId="0" xr:uid="{70B7EFEB-D5F9-465D-B84E-1B2D398729D8}">
      <text>
        <r>
          <rPr>
            <b/>
            <sz val="12"/>
            <color indexed="9"/>
            <rFont val="맑은 고딕"/>
            <family val="3"/>
            <charset val="129"/>
            <scheme val="minor"/>
          </rPr>
          <t>자동계산</t>
        </r>
      </text>
    </comment>
  </commentList>
</comments>
</file>

<file path=xl/sharedStrings.xml><?xml version="1.0" encoding="utf-8"?>
<sst xmlns="http://schemas.openxmlformats.org/spreadsheetml/2006/main" count="50" uniqueCount="48">
  <si>
    <t>교통비 정산서</t>
    <phoneticPr fontId="1" type="noConversion"/>
  </si>
  <si>
    <t>월</t>
    <phoneticPr fontId="1" type="noConversion"/>
  </si>
  <si>
    <t>일</t>
    <phoneticPr fontId="1" type="noConversion"/>
  </si>
  <si>
    <t>출발지</t>
    <phoneticPr fontId="1" type="noConversion"/>
  </si>
  <si>
    <t>도착지</t>
    <phoneticPr fontId="1" type="noConversion"/>
  </si>
  <si>
    <t>거리</t>
    <phoneticPr fontId="1" type="noConversion"/>
  </si>
  <si>
    <t>목 적</t>
    <phoneticPr fontId="1" type="noConversion"/>
  </si>
  <si>
    <t>병원</t>
    <phoneticPr fontId="1" type="noConversion"/>
  </si>
  <si>
    <t>배기량</t>
    <phoneticPr fontId="1" type="noConversion"/>
  </si>
  <si>
    <t>교통비</t>
    <phoneticPr fontId="1" type="noConversion"/>
  </si>
  <si>
    <t>합 계</t>
    <phoneticPr fontId="1" type="noConversion"/>
  </si>
  <si>
    <t>기본정보</t>
    <phoneticPr fontId="1" type="noConversion"/>
  </si>
  <si>
    <t>자차</t>
    <phoneticPr fontId="1" type="noConversion"/>
  </si>
  <si>
    <t>이동</t>
    <phoneticPr fontId="1" type="noConversion"/>
  </si>
  <si>
    <t>택시</t>
    <phoneticPr fontId="1" type="noConversion"/>
  </si>
  <si>
    <t>연료구분</t>
    <phoneticPr fontId="1" type="noConversion"/>
  </si>
  <si>
    <t>휘발유</t>
    <phoneticPr fontId="1" type="noConversion"/>
  </si>
  <si>
    <t>LPG</t>
    <phoneticPr fontId="1" type="noConversion"/>
  </si>
  <si>
    <t>경유</t>
    <phoneticPr fontId="1" type="noConversion"/>
  </si>
  <si>
    <t>통행료 등</t>
    <phoneticPr fontId="1" type="noConversion"/>
  </si>
  <si>
    <t>유류비</t>
    <phoneticPr fontId="1" type="noConversion"/>
  </si>
  <si>
    <t>홍길동</t>
    <phoneticPr fontId="1" type="noConversion"/>
  </si>
  <si>
    <t>유류단가</t>
    <phoneticPr fontId="1" type="noConversion"/>
  </si>
  <si>
    <t>세부 사항</t>
    <phoneticPr fontId="1" type="noConversion"/>
  </si>
  <si>
    <t>동승자</t>
    <phoneticPr fontId="1" type="noConversion"/>
  </si>
  <si>
    <t>· 작성일      :</t>
    <phoneticPr fontId="1" type="noConversion"/>
  </si>
  <si>
    <t>· 신청자      :</t>
    <phoneticPr fontId="1" type="noConversion"/>
  </si>
  <si>
    <t>· 차량명      :</t>
    <phoneticPr fontId="1" type="noConversion"/>
  </si>
  <si>
    <t>· 차량번호    :</t>
    <phoneticPr fontId="1" type="noConversion"/>
  </si>
  <si>
    <t>1500cc 초과</t>
    <phoneticPr fontId="1" type="noConversion"/>
  </si>
  <si>
    <t>1500cc 이하</t>
    <phoneticPr fontId="1" type="noConversion"/>
  </si>
  <si>
    <r>
      <t>연료구분</t>
    </r>
    <r>
      <rPr>
        <sz val="14"/>
        <color rgb="FF0000FF"/>
        <rFont val="바탕체"/>
        <family val="1"/>
        <charset val="129"/>
      </rPr>
      <t>(▼)</t>
    </r>
    <phoneticPr fontId="1" type="noConversion"/>
  </si>
  <si>
    <r>
      <t>배기량</t>
    </r>
    <r>
      <rPr>
        <sz val="14"/>
        <color rgb="FF0000FF"/>
        <rFont val="바탕체"/>
        <family val="1"/>
        <charset val="129"/>
      </rPr>
      <t>(▼)</t>
    </r>
    <phoneticPr fontId="1" type="noConversion"/>
  </si>
  <si>
    <t>(서명)</t>
    <phoneticPr fontId="1" type="noConversion"/>
  </si>
  <si>
    <t>1. 자차 이용 시</t>
    <phoneticPr fontId="1" type="noConversion"/>
  </si>
  <si>
    <t>· 정산액      :</t>
    <phoneticPr fontId="1" type="noConversion"/>
  </si>
  <si>
    <t>휘발유</t>
  </si>
  <si>
    <t xml:space="preserve">  * 프로세스: 출장신청서 작성 → 교통비정산서 작성</t>
    <phoneticPr fontId="1" type="noConversion"/>
  </si>
  <si>
    <t xml:space="preserve">  * 거리계산: 네이버지도 등을 이용하여 출발지 ↔ 도착지 거리 정확하게 계산</t>
    <phoneticPr fontId="1" type="noConversion"/>
  </si>
  <si>
    <t xml:space="preserve">  * 유류대 계산: 운행거리 × 유류단가 ÷ 리터당 주행거리</t>
    <phoneticPr fontId="1" type="noConversion"/>
  </si>
  <si>
    <t xml:space="preserve">  * 실물 영수증 첨부: 통행료, 주차료, 택시이용료</t>
    <phoneticPr fontId="1" type="noConversion"/>
  </si>
  <si>
    <t xml:space="preserve"> [ 작성기준 ]</t>
    <phoneticPr fontId="1" type="noConversion"/>
  </si>
  <si>
    <t>1500cc 초과</t>
  </si>
  <si>
    <t>한마음병원</t>
    <phoneticPr fontId="1" type="noConversion"/>
  </si>
  <si>
    <t>업무협의 차 한마음병원 방문</t>
    <phoneticPr fontId="1" type="noConversion"/>
  </si>
  <si>
    <t>카니발</t>
    <phoneticPr fontId="1" type="noConversion"/>
  </si>
  <si>
    <t>999더9999</t>
    <phoneticPr fontId="1" type="noConversion"/>
  </si>
  <si>
    <t>1000cc 미만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</si>
</sst>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₩&quot;#,##0;[Red]\-&quot;₩&quot;#,##0"/>
    <numFmt numFmtId="41" formatCode="_-* #,##0_-;\-* #,##0_-;_-* &quot;-&quot;_-;_-@_-"/>
    <numFmt numFmtId="176" formatCode="#,##0&quot;cc&quot;"/>
    <numFmt numFmtId="177" formatCode="&quot;₩&quot;#,##0"/>
    <numFmt numFmtId="178" formatCode="0&quot;km&quot;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체"/>
      <family val="1"/>
      <charset val="129"/>
    </font>
    <font>
      <b/>
      <sz val="14"/>
      <color theme="1"/>
      <name val="바탕체"/>
      <family val="1"/>
      <charset val="129"/>
    </font>
    <font>
      <b/>
      <sz val="16"/>
      <color theme="1"/>
      <name val="바탕체"/>
      <family val="1"/>
      <charset val="129"/>
    </font>
    <font>
      <sz val="14"/>
      <color theme="1"/>
      <name val="바탕체"/>
      <family val="1"/>
      <charset val="129"/>
    </font>
    <font>
      <sz val="12"/>
      <color theme="1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6"/>
      <color theme="1"/>
      <name val="바탕체"/>
      <family val="1"/>
      <charset val="129"/>
    </font>
    <font>
      <sz val="11"/>
      <color theme="1"/>
      <name val="맑은 고딕"/>
      <family val="2"/>
      <charset val="129"/>
    </font>
    <font>
      <sz val="18"/>
      <color theme="1"/>
      <name val="바탕체"/>
      <family val="1"/>
      <charset val="129"/>
    </font>
    <font>
      <b/>
      <sz val="36"/>
      <color theme="1"/>
      <name val="바탕체"/>
      <family val="1"/>
      <charset val="129"/>
    </font>
    <font>
      <sz val="14"/>
      <color rgb="FF0000FF"/>
      <name val="바탕체"/>
      <family val="1"/>
      <charset val="129"/>
    </font>
    <font>
      <b/>
      <sz val="12"/>
      <color indexed="9"/>
      <name val="맑은 고딕"/>
      <family val="3"/>
      <charset val="129"/>
      <scheme val="minor"/>
    </font>
    <font>
      <b/>
      <sz val="14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>
      <alignment vertical="center"/>
    </xf>
    <xf numFmtId="0" fontId="10" fillId="0" borderId="0" xfId="0" applyFont="1" applyFill="1">
      <alignment vertical="center"/>
    </xf>
    <xf numFmtId="0" fontId="8" fillId="2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0" fillId="0" borderId="0" xfId="0" applyFont="1" applyProtection="1">
      <alignment vertical="center"/>
      <protection locked="0"/>
    </xf>
    <xf numFmtId="0" fontId="5" fillId="0" borderId="0" xfId="0" applyFont="1" applyFill="1" applyBorder="1" applyAlignment="1" applyProtection="1">
      <alignment vertical="center"/>
    </xf>
    <xf numFmtId="0" fontId="2" fillId="0" borderId="0" xfId="0" applyFont="1" applyProtection="1">
      <alignment vertical="center"/>
    </xf>
    <xf numFmtId="0" fontId="10" fillId="0" borderId="0" xfId="0" applyFont="1" applyFill="1" applyBorder="1" applyAlignment="1" applyProtection="1">
      <alignment vertical="center"/>
    </xf>
    <xf numFmtId="0" fontId="10" fillId="0" borderId="0" xfId="0" applyFont="1" applyProtection="1">
      <alignment vertical="center"/>
    </xf>
    <xf numFmtId="0" fontId="8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Fill="1" applyBorder="1" applyAlignment="1" applyProtection="1">
      <alignment vertical="center"/>
    </xf>
    <xf numFmtId="0" fontId="8" fillId="0" borderId="14" xfId="0" applyFont="1" applyFill="1" applyBorder="1" applyAlignment="1" applyProtection="1">
      <alignment horizontal="center" vertical="center" shrinkToFit="1"/>
      <protection locked="0"/>
    </xf>
    <xf numFmtId="0" fontId="8" fillId="2" borderId="14" xfId="0" applyFont="1" applyFill="1" applyBorder="1" applyAlignment="1" applyProtection="1">
      <alignment horizontal="center" vertical="center"/>
    </xf>
    <xf numFmtId="0" fontId="8" fillId="2" borderId="15" xfId="0" applyFont="1" applyFill="1" applyBorder="1" applyAlignment="1" applyProtection="1">
      <alignment horizontal="center" vertical="center"/>
    </xf>
    <xf numFmtId="0" fontId="8" fillId="0" borderId="15" xfId="0" applyFont="1" applyFill="1" applyBorder="1" applyAlignment="1" applyProtection="1">
      <alignment horizontal="center" vertical="center" shrinkToFit="1"/>
      <protection locked="0"/>
    </xf>
    <xf numFmtId="0" fontId="8" fillId="0" borderId="0" xfId="0" applyFont="1">
      <alignment vertical="center"/>
    </xf>
    <xf numFmtId="0" fontId="4" fillId="0" borderId="0" xfId="0" applyFont="1" applyFill="1" applyBorder="1" applyAlignment="1" applyProtection="1">
      <alignment horizontal="center" vertical="center"/>
    </xf>
    <xf numFmtId="177" fontId="4" fillId="0" borderId="0" xfId="0" applyNumberFormat="1" applyFont="1" applyFill="1" applyBorder="1" applyAlignment="1" applyProtection="1">
      <alignment horizontal="right" vertical="center"/>
      <protection locked="0"/>
    </xf>
    <xf numFmtId="0" fontId="8" fillId="0" borderId="2" xfId="0" applyFont="1" applyBorder="1" applyAlignment="1">
      <alignment horizontal="left" vertical="center"/>
    </xf>
    <xf numFmtId="0" fontId="4" fillId="0" borderId="0" xfId="0" applyFont="1" applyFill="1" applyBorder="1" applyAlignment="1" applyProtection="1">
      <alignment horizontal="left" vertical="center"/>
    </xf>
    <xf numFmtId="0" fontId="8" fillId="0" borderId="0" xfId="0" applyFont="1">
      <alignment vertical="center"/>
    </xf>
    <xf numFmtId="177" fontId="4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center" vertical="center"/>
    </xf>
    <xf numFmtId="0" fontId="7" fillId="0" borderId="0" xfId="2">
      <alignment vertical="center"/>
    </xf>
    <xf numFmtId="0" fontId="9" fillId="0" borderId="0" xfId="1">
      <alignment vertical="center"/>
    </xf>
    <xf numFmtId="0" fontId="10" fillId="3" borderId="0" xfId="0" applyFont="1" applyFill="1" applyBorder="1" applyAlignment="1" applyProtection="1">
      <alignment vertical="center"/>
    </xf>
    <xf numFmtId="0" fontId="10" fillId="3" borderId="0" xfId="0" applyFont="1" applyFill="1" applyProtection="1">
      <alignment vertical="center"/>
    </xf>
    <xf numFmtId="0" fontId="10" fillId="3" borderId="0" xfId="0" applyFont="1" applyFill="1" applyProtection="1">
      <alignment vertical="center"/>
      <protection locked="0"/>
    </xf>
    <xf numFmtId="0" fontId="10" fillId="0" borderId="0" xfId="0" applyFont="1" applyFill="1" applyProtection="1">
      <alignment vertical="center"/>
    </xf>
    <xf numFmtId="0" fontId="10" fillId="0" borderId="0" xfId="0" applyFont="1" applyFill="1" applyProtection="1">
      <alignment vertical="center"/>
      <protection locked="0"/>
    </xf>
    <xf numFmtId="0" fontId="6" fillId="0" borderId="0" xfId="0" applyFont="1" applyFill="1" applyBorder="1" applyAlignment="1" applyProtection="1">
      <alignment vertical="center"/>
      <protection hidden="1"/>
    </xf>
    <xf numFmtId="0" fontId="5" fillId="0" borderId="0" xfId="0" applyFont="1" applyFill="1" applyBorder="1" applyAlignment="1">
      <alignment horizontal="left" vertical="center"/>
    </xf>
    <xf numFmtId="0" fontId="5" fillId="0" borderId="22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2" xfId="0" applyFont="1" applyFill="1" applyBorder="1" applyAlignment="1">
      <alignment vertical="center"/>
    </xf>
    <xf numFmtId="0" fontId="5" fillId="0" borderId="0" xfId="0" applyFont="1" applyBorder="1">
      <alignment vertical="center"/>
    </xf>
    <xf numFmtId="0" fontId="5" fillId="0" borderId="23" xfId="0" applyFont="1" applyBorder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25" xfId="0" applyFont="1" applyFill="1" applyBorder="1" applyAlignment="1">
      <alignment vertical="center"/>
    </xf>
    <xf numFmtId="0" fontId="5" fillId="0" borderId="25" xfId="0" applyFont="1" applyBorder="1">
      <alignment vertical="center"/>
    </xf>
    <xf numFmtId="0" fontId="5" fillId="0" borderId="26" xfId="0" applyFont="1" applyBorder="1">
      <alignment vertical="center"/>
    </xf>
    <xf numFmtId="177" fontId="8" fillId="3" borderId="14" xfId="0" applyNumberFormat="1" applyFont="1" applyFill="1" applyBorder="1" applyAlignment="1" applyProtection="1">
      <alignment horizontal="right" vertical="center" shrinkToFit="1"/>
      <protection hidden="1"/>
    </xf>
    <xf numFmtId="177" fontId="8" fillId="3" borderId="15" xfId="0" applyNumberFormat="1" applyFont="1" applyFill="1" applyBorder="1" applyAlignment="1" applyProtection="1">
      <alignment horizontal="right" vertical="center" shrinkToFit="1"/>
      <protection hidden="1"/>
    </xf>
    <xf numFmtId="176" fontId="6" fillId="4" borderId="18" xfId="0" applyNumberFormat="1" applyFont="1" applyFill="1" applyBorder="1" applyAlignment="1" applyProtection="1">
      <alignment horizontal="left" vertical="center" shrinkToFit="1"/>
      <protection locked="0"/>
    </xf>
    <xf numFmtId="176" fontId="6" fillId="4" borderId="7" xfId="0" applyNumberFormat="1" applyFont="1" applyFill="1" applyBorder="1" applyAlignment="1" applyProtection="1">
      <alignment horizontal="left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left" vertical="center" shrinkToFit="1"/>
      <protection locked="0"/>
    </xf>
    <xf numFmtId="177" fontId="8" fillId="3" borderId="8" xfId="0" applyNumberFormat="1" applyFont="1" applyFill="1" applyBorder="1" applyAlignment="1" applyProtection="1">
      <alignment horizontal="right" vertical="center" shrinkToFit="1"/>
    </xf>
    <xf numFmtId="177" fontId="8" fillId="3" borderId="7" xfId="0" applyNumberFormat="1" applyFont="1" applyFill="1" applyBorder="1" applyAlignment="1" applyProtection="1">
      <alignment horizontal="right" vertical="center" shrinkToFit="1"/>
    </xf>
    <xf numFmtId="177" fontId="8" fillId="3" borderId="6" xfId="0" applyNumberFormat="1" applyFont="1" applyFill="1" applyBorder="1" applyAlignment="1" applyProtection="1">
      <alignment horizontal="right" vertical="center" shrinkToFit="1"/>
    </xf>
    <xf numFmtId="177" fontId="8" fillId="3" borderId="8" xfId="0" applyNumberFormat="1" applyFont="1" applyFill="1" applyBorder="1" applyAlignment="1" applyProtection="1">
      <alignment horizontal="right" vertical="center" shrinkToFit="1"/>
      <protection hidden="1"/>
    </xf>
    <xf numFmtId="177" fontId="8" fillId="3" borderId="7" xfId="0" applyNumberFormat="1" applyFont="1" applyFill="1" applyBorder="1" applyAlignment="1" applyProtection="1">
      <alignment horizontal="right" vertical="center" shrinkToFit="1"/>
      <protection hidden="1"/>
    </xf>
    <xf numFmtId="177" fontId="8" fillId="3" borderId="17" xfId="0" applyNumberFormat="1" applyFont="1" applyFill="1" applyBorder="1" applyAlignment="1" applyProtection="1">
      <alignment horizontal="right" vertical="center" shrinkToFit="1"/>
      <protection hidden="1"/>
    </xf>
    <xf numFmtId="177" fontId="8" fillId="0" borderId="18" xfId="0" applyNumberFormat="1" applyFont="1" applyFill="1" applyBorder="1" applyAlignment="1" applyProtection="1">
      <alignment horizontal="right" vertical="center" shrinkToFit="1"/>
      <protection locked="0"/>
    </xf>
    <xf numFmtId="177" fontId="8" fillId="0" borderId="7" xfId="0" applyNumberFormat="1" applyFont="1" applyFill="1" applyBorder="1" applyAlignment="1" applyProtection="1">
      <alignment horizontal="right" vertical="center" shrinkToFit="1"/>
      <protection locked="0"/>
    </xf>
    <xf numFmtId="177" fontId="8" fillId="0" borderId="6" xfId="0" applyNumberFormat="1" applyFont="1" applyFill="1" applyBorder="1" applyAlignment="1" applyProtection="1">
      <alignment horizontal="right" vertical="center" shrinkToFit="1"/>
      <protection locked="0"/>
    </xf>
    <xf numFmtId="0" fontId="8" fillId="0" borderId="15" xfId="0" applyFont="1" applyFill="1" applyBorder="1" applyAlignment="1" applyProtection="1">
      <alignment horizontal="center" vertical="center" shrinkToFit="1"/>
      <protection locked="0"/>
    </xf>
    <xf numFmtId="178" fontId="8" fillId="4" borderId="18" xfId="0" applyNumberFormat="1" applyFont="1" applyFill="1" applyBorder="1" applyAlignment="1" applyProtection="1">
      <alignment horizontal="center" vertical="center" shrinkToFit="1"/>
      <protection locked="0"/>
    </xf>
    <xf numFmtId="178" fontId="8" fillId="4" borderId="17" xfId="0" applyNumberFormat="1" applyFont="1" applyFill="1" applyBorder="1" applyAlignment="1" applyProtection="1">
      <alignment horizontal="center" vertical="center" shrinkToFit="1"/>
      <protection locked="0"/>
    </xf>
    <xf numFmtId="177" fontId="8" fillId="0" borderId="15" xfId="0" applyNumberFormat="1" applyFont="1" applyFill="1" applyBorder="1" applyAlignment="1" applyProtection="1">
      <alignment horizontal="right" vertical="center" shrinkToFit="1"/>
      <protection locked="0"/>
    </xf>
    <xf numFmtId="177" fontId="8" fillId="0" borderId="16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18" xfId="0" applyFont="1" applyFill="1" applyBorder="1" applyAlignment="1" applyProtection="1">
      <alignment vertical="center" shrinkToFit="1"/>
      <protection locked="0"/>
    </xf>
    <xf numFmtId="0" fontId="6" fillId="0" borderId="7" xfId="0" applyFont="1" applyFill="1" applyBorder="1" applyAlignment="1" applyProtection="1">
      <alignment vertical="center" shrinkToFit="1"/>
      <protection locked="0"/>
    </xf>
    <xf numFmtId="0" fontId="6" fillId="0" borderId="17" xfId="0" applyFont="1" applyFill="1" applyBorder="1" applyAlignment="1" applyProtection="1">
      <alignment vertical="center" shrinkToFit="1"/>
      <protection locked="0"/>
    </xf>
    <xf numFmtId="0" fontId="8" fillId="2" borderId="1" xfId="0" applyFont="1" applyFill="1" applyBorder="1" applyAlignment="1" applyProtection="1">
      <alignment horizontal="center" vertical="center"/>
    </xf>
    <xf numFmtId="0" fontId="8" fillId="2" borderId="18" xfId="0" applyFont="1" applyFill="1" applyBorder="1" applyAlignment="1" applyProtection="1">
      <alignment horizontal="center" vertical="center"/>
    </xf>
    <xf numFmtId="0" fontId="8" fillId="2" borderId="7" xfId="0" applyFont="1" applyFill="1" applyBorder="1" applyAlignment="1" applyProtection="1">
      <alignment horizontal="center" vertical="center"/>
    </xf>
    <xf numFmtId="0" fontId="8" fillId="2" borderId="17" xfId="0" applyFont="1" applyFill="1" applyBorder="1" applyAlignment="1" applyProtection="1">
      <alignment horizontal="center" vertical="center"/>
    </xf>
    <xf numFmtId="0" fontId="8" fillId="2" borderId="6" xfId="0" applyFont="1" applyFill="1" applyBorder="1" applyAlignment="1" applyProtection="1">
      <alignment horizontal="center" vertical="center"/>
    </xf>
    <xf numFmtId="0" fontId="8" fillId="0" borderId="18" xfId="0" applyFont="1" applyFill="1" applyBorder="1" applyAlignment="1" applyProtection="1">
      <alignment horizontal="center" vertical="center" shrinkToFit="1"/>
      <protection locked="0"/>
    </xf>
    <xf numFmtId="0" fontId="7" fillId="0" borderId="0" xfId="2">
      <alignment vertical="center"/>
    </xf>
    <xf numFmtId="0" fontId="8" fillId="2" borderId="8" xfId="0" applyFont="1" applyFill="1" applyBorder="1" applyAlignment="1" applyProtection="1">
      <alignment horizontal="center" vertical="center"/>
    </xf>
    <xf numFmtId="0" fontId="4" fillId="3" borderId="0" xfId="0" applyFont="1" applyFill="1" applyBorder="1" applyAlignment="1" applyProtection="1">
      <alignment horizontal="left" vertical="center"/>
    </xf>
    <xf numFmtId="14" fontId="4" fillId="3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Border="1" applyAlignment="1" applyProtection="1">
      <alignment horizontal="left" vertical="center"/>
    </xf>
    <xf numFmtId="177" fontId="4" fillId="0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15" xfId="0" applyFont="1" applyFill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3" xfId="0" applyFont="1" applyBorder="1" applyAlignment="1" applyProtection="1">
      <alignment horizontal="center" vertical="center"/>
    </xf>
    <xf numFmtId="0" fontId="11" fillId="0" borderId="10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1" fillId="0" borderId="11" xfId="0" applyFont="1" applyBorder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/>
    </xf>
    <xf numFmtId="0" fontId="11" fillId="0" borderId="12" xfId="0" applyFont="1" applyBorder="1" applyAlignment="1" applyProtection="1">
      <alignment horizontal="center" vertical="center"/>
    </xf>
    <xf numFmtId="0" fontId="11" fillId="0" borderId="13" xfId="0" applyFont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8" fillId="2" borderId="15" xfId="0" applyFont="1" applyFill="1" applyBorder="1" applyAlignment="1" applyProtection="1">
      <alignment horizontal="center" vertical="center" shrinkToFit="1"/>
    </xf>
    <xf numFmtId="0" fontId="8" fillId="2" borderId="7" xfId="0" applyFont="1" applyFill="1" applyBorder="1" applyAlignment="1" applyProtection="1">
      <alignment horizontal="center" vertical="center" shrinkToFit="1"/>
    </xf>
    <xf numFmtId="0" fontId="8" fillId="2" borderId="6" xfId="0" applyFont="1" applyFill="1" applyBorder="1" applyAlignment="1" applyProtection="1">
      <alignment horizontal="center" vertical="center" shrinkToFit="1"/>
    </xf>
    <xf numFmtId="0" fontId="0" fillId="0" borderId="0" xfId="0">
      <alignment vertical="center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 applyProtection="1">
      <alignment horizontal="center" vertical="center"/>
    </xf>
    <xf numFmtId="0" fontId="5" fillId="0" borderId="7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177" fontId="4" fillId="4" borderId="0" xfId="0" applyNumberFormat="1" applyFont="1" applyFill="1" applyBorder="1" applyAlignment="1" applyProtection="1">
      <alignment horizontal="right" vertical="center"/>
      <protection locked="0"/>
    </xf>
    <xf numFmtId="177" fontId="4" fillId="0" borderId="0" xfId="0" applyNumberFormat="1" applyFont="1" applyFill="1" applyBorder="1" applyAlignment="1" applyProtection="1">
      <alignment horizontal="right" vertical="center"/>
      <protection locked="0"/>
    </xf>
    <xf numFmtId="14" fontId="4" fillId="0" borderId="0" xfId="0" applyNumberFormat="1" applyFont="1" applyFill="1" applyBorder="1" applyAlignment="1" applyProtection="1">
      <alignment horizontal="right" vertical="center"/>
      <protection locked="0"/>
    </xf>
    <xf numFmtId="0" fontId="10" fillId="0" borderId="0" xfId="0" applyFont="1">
      <alignment vertical="center"/>
    </xf>
    <xf numFmtId="0" fontId="5" fillId="0" borderId="25" xfId="0" applyFont="1" applyBorder="1">
      <alignment vertical="center"/>
    </xf>
    <xf numFmtId="0" fontId="5" fillId="0" borderId="22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23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6" fontId="5" fillId="4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</xf>
    <xf numFmtId="0" fontId="8" fillId="0" borderId="7" xfId="0" applyFont="1" applyFill="1" applyBorder="1" applyAlignment="1" applyProtection="1">
      <alignment horizontal="center" vertical="center" shrinkToFit="1"/>
      <protection locked="0"/>
    </xf>
    <xf numFmtId="0" fontId="8" fillId="0" borderId="17" xfId="0" applyFont="1" applyFill="1" applyBorder="1" applyAlignment="1" applyProtection="1">
      <alignment horizontal="center" vertical="center" shrinkToFit="1"/>
      <protection locked="0"/>
    </xf>
  </cellXfs>
  <cellStyles count="4">
    <cellStyle name="쉼표 [0] 2" xfId="3" xr:uid="{63568581-662F-4FEF-978B-E8E44A0F2679}"/>
    <cellStyle name="표준" xfId="0" builtinId="0"/>
    <cellStyle name="표준 2" xfId="2" xr:uid="{14597626-BB7B-4016-A3C7-CF2F1584A802}"/>
    <cellStyle name="표준 3" xfId="1" xr:uid="{00000000-0005-0000-0000-000030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268942</xdr:colOff>
      <xdr:row>16</xdr:row>
      <xdr:rowOff>67237</xdr:rowOff>
    </xdr:from>
    <xdr:to>
      <xdr:col>56</xdr:col>
      <xdr:colOff>121226</xdr:colOff>
      <xdr:row>45</xdr:row>
      <xdr:rowOff>122464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5EA8B5-E769-4070-821F-A91FFD7B733F}"/>
            </a:ext>
          </a:extLst>
        </xdr:cNvPr>
        <xdr:cNvSpPr txBox="1"/>
      </xdr:nvSpPr>
      <xdr:spPr>
        <a:xfrm>
          <a:off x="10202156" y="3836416"/>
          <a:ext cx="7689999" cy="95257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altLang="ko-KR" sz="1400" b="1">
            <a:latin typeface="+mn-ea"/>
            <a:ea typeface="+mn-ea"/>
          </a:endParaRPr>
        </a:p>
        <a:p>
          <a:r>
            <a:rPr lang="ko-KR" altLang="en-US" sz="2000" b="1">
              <a:latin typeface="+mn-ea"/>
              <a:ea typeface="+mn-ea"/>
            </a:rPr>
            <a:t>파일 오픈 시 </a:t>
          </a:r>
          <a:r>
            <a:rPr lang="en-US" altLang="ko-KR" sz="2000" b="1">
              <a:solidFill>
                <a:srgbClr val="0000FF"/>
              </a:solidFill>
              <a:latin typeface="+mn-ea"/>
              <a:ea typeface="+mn-ea"/>
            </a:rPr>
            <a:t>"</a:t>
          </a:r>
          <a:r>
            <a:rPr lang="ko-KR" altLang="en-US" sz="2000" b="1">
              <a:solidFill>
                <a:srgbClr val="0000FF"/>
              </a:solidFill>
              <a:latin typeface="+mn-ea"/>
              <a:ea typeface="+mn-ea"/>
            </a:rPr>
            <a:t>콘텐츠사용</a:t>
          </a:r>
          <a:r>
            <a:rPr lang="en-US" altLang="ko-KR" sz="2000" b="1">
              <a:solidFill>
                <a:srgbClr val="0000FF"/>
              </a:solidFill>
              <a:latin typeface="+mn-ea"/>
              <a:ea typeface="+mn-ea"/>
            </a:rPr>
            <a:t>" </a:t>
          </a:r>
          <a:r>
            <a:rPr lang="ko-KR" altLang="en-US" sz="2000" b="1">
              <a:latin typeface="+mn-ea"/>
              <a:ea typeface="+mn-ea"/>
            </a:rPr>
            <a:t>클릭 필수</a:t>
          </a:r>
          <a:endParaRPr lang="en-US" altLang="ko-KR" sz="2000" b="1"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회색음영으로된 셀은 입력 필요 없음</a:t>
          </a:r>
          <a:endParaRPr lang="ko-KR" altLang="ko-KR" sz="2000">
            <a:effectLst/>
          </a:endParaRPr>
        </a:p>
        <a:p>
          <a:endParaRPr lang="en-US" altLang="ko-KR" sz="1400">
            <a:latin typeface="+mn-ea"/>
            <a:ea typeface="+mn-ea"/>
          </a:endParaRPr>
        </a:p>
        <a:p>
          <a:r>
            <a:rPr lang="en-US" altLang="ko-KR" sz="1600" b="1">
              <a:latin typeface="+mn-ea"/>
              <a:ea typeface="+mn-ea"/>
            </a:rPr>
            <a:t>&lt;</a:t>
          </a:r>
          <a:r>
            <a:rPr lang="ko-KR" altLang="en-US" sz="1600" b="1">
              <a:latin typeface="+mn-ea"/>
              <a:ea typeface="+mn-ea"/>
            </a:rPr>
            <a:t>작성방법</a:t>
          </a:r>
          <a:r>
            <a:rPr lang="en-US" altLang="ko-KR" sz="1600" b="1">
              <a:latin typeface="+mn-ea"/>
              <a:ea typeface="+mn-ea"/>
            </a:rPr>
            <a:t>&gt;</a:t>
          </a:r>
        </a:p>
        <a:p>
          <a:r>
            <a:rPr lang="en-US" altLang="ko-KR" sz="1600">
              <a:latin typeface="+mn-ea"/>
              <a:ea typeface="+mn-ea"/>
            </a:rPr>
            <a:t> 1. </a:t>
          </a:r>
          <a:r>
            <a:rPr lang="ko-KR" altLang="en-US" sz="1600">
              <a:latin typeface="+mn-ea"/>
              <a:ea typeface="+mn-ea"/>
            </a:rPr>
            <a:t>자차 이용의 경우 </a:t>
          </a:r>
          <a:r>
            <a:rPr lang="en-US" altLang="ko-KR" sz="1600">
              <a:latin typeface="+mn-ea"/>
              <a:ea typeface="+mn-ea"/>
            </a:rPr>
            <a:t>1</a:t>
          </a:r>
          <a:r>
            <a:rPr lang="ko-KR" altLang="en-US" sz="1600">
              <a:latin typeface="+mn-ea"/>
              <a:ea typeface="+mn-ea"/>
            </a:rPr>
            <a:t>번 작성</a:t>
          </a:r>
          <a:endParaRPr lang="en-US" altLang="ko-KR" sz="1600">
            <a:latin typeface="+mn-ea"/>
            <a:ea typeface="+mn-ea"/>
          </a:endParaRPr>
        </a:p>
        <a:p>
          <a:r>
            <a:rPr lang="en-US" altLang="ko-KR" sz="1600">
              <a:latin typeface="+mn-ea"/>
              <a:ea typeface="+mn-ea"/>
            </a:rPr>
            <a:t> 2. </a:t>
          </a:r>
          <a:r>
            <a:rPr lang="ko-KR" altLang="en-US" sz="1600">
              <a:latin typeface="+mn-ea"/>
              <a:ea typeface="+mn-ea"/>
            </a:rPr>
            <a:t>택시 이용의 경우 </a:t>
          </a:r>
          <a:r>
            <a:rPr lang="en-US" altLang="ko-KR" sz="1600">
              <a:latin typeface="+mn-ea"/>
              <a:ea typeface="+mn-ea"/>
            </a:rPr>
            <a:t>2</a:t>
          </a:r>
          <a:r>
            <a:rPr lang="ko-KR" altLang="en-US" sz="1600">
              <a:latin typeface="+mn-ea"/>
              <a:ea typeface="+mn-ea"/>
            </a:rPr>
            <a:t>번 작성</a:t>
          </a:r>
          <a:endParaRPr lang="en-US" altLang="ko-KR" sz="1600">
            <a:latin typeface="+mn-ea"/>
            <a:ea typeface="+mn-ea"/>
          </a:endParaRPr>
        </a:p>
        <a:p>
          <a:endParaRPr lang="en-US" altLang="ko-KR" sz="1600">
            <a:latin typeface="+mn-ea"/>
            <a:ea typeface="+mn-ea"/>
          </a:endParaRPr>
        </a:p>
        <a:p>
          <a:r>
            <a:rPr lang="en-US" altLang="ko-KR" sz="1600">
              <a:latin typeface="+mn-ea"/>
              <a:ea typeface="+mn-ea"/>
            </a:rPr>
            <a:t>---------------------------------------------------------------------------------------</a:t>
          </a:r>
        </a:p>
        <a:p>
          <a:r>
            <a:rPr lang="en-US" altLang="ko-KR" sz="1600" b="1">
              <a:latin typeface="+mn-ea"/>
              <a:ea typeface="+mn-ea"/>
            </a:rPr>
            <a:t> 1. </a:t>
          </a:r>
          <a:r>
            <a:rPr lang="ko-KR" altLang="en-US" sz="1600" b="1">
              <a:latin typeface="+mn-ea"/>
              <a:ea typeface="+mn-ea"/>
            </a:rPr>
            <a:t>자차 이용 시</a:t>
          </a:r>
          <a:endParaRPr lang="en-US" altLang="ko-KR" sz="1600" b="1">
            <a:latin typeface="+mn-ea"/>
            <a:ea typeface="+mn-ea"/>
          </a:endParaRPr>
        </a:p>
        <a:p>
          <a:r>
            <a:rPr lang="en-US" altLang="ko-KR" sz="1600">
              <a:latin typeface="+mn-ea"/>
              <a:ea typeface="+mn-ea"/>
            </a:rPr>
            <a:t>   </a:t>
          </a:r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① 작성일 작성</a:t>
          </a:r>
          <a:endParaRPr lang="en-US" altLang="ko-KR" sz="1600">
            <a:solidFill>
              <a:schemeClr val="dk1"/>
            </a:solidFill>
            <a:latin typeface="+mn-ea"/>
            <a:ea typeface="+mn-ea"/>
            <a:cs typeface="+mn-cs"/>
          </a:endParaRPr>
        </a:p>
        <a:p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   ② 신청자 작성 </a:t>
          </a:r>
          <a:r>
            <a:rPr lang="en-US" altLang="ko-KR" sz="1600">
              <a:solidFill>
                <a:schemeClr val="dk1"/>
              </a:solidFill>
              <a:latin typeface="+mn-ea"/>
              <a:ea typeface="+mn-ea"/>
              <a:cs typeface="+mn-cs"/>
            </a:rPr>
            <a:t>(</a:t>
          </a:r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인쇄 후 자필 서명</a:t>
          </a:r>
          <a:r>
            <a:rPr lang="en-US" altLang="ko-KR" sz="1600">
              <a:solidFill>
                <a:schemeClr val="dk1"/>
              </a:solidFill>
              <a:latin typeface="+mn-ea"/>
              <a:ea typeface="+mn-ea"/>
              <a:cs typeface="+mn-cs"/>
            </a:rPr>
            <a:t>)</a:t>
          </a:r>
        </a:p>
        <a:p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   ③ 차량명 작성</a:t>
          </a:r>
          <a:endParaRPr lang="en-US" altLang="ko-KR" sz="1600">
            <a:solidFill>
              <a:schemeClr val="dk1"/>
            </a:solidFill>
            <a:latin typeface="+mn-ea"/>
            <a:ea typeface="+mn-ea"/>
            <a:cs typeface="+mn-cs"/>
          </a:endParaRPr>
        </a:p>
        <a:p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   ④ 차량번호 작성</a:t>
          </a:r>
          <a:endParaRPr lang="en-US" altLang="ko-KR" sz="1600">
            <a:solidFill>
              <a:schemeClr val="dk1"/>
            </a:solidFill>
            <a:latin typeface="+mn-ea"/>
            <a:ea typeface="+mn-ea"/>
            <a:cs typeface="+mn-cs"/>
          </a:endParaRPr>
        </a:p>
        <a:p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   ⑤ 연료구분</a:t>
          </a:r>
          <a:r>
            <a:rPr lang="en-US" altLang="ko-KR" sz="1600" baseline="0">
              <a:solidFill>
                <a:schemeClr val="dk1"/>
              </a:solidFill>
              <a:latin typeface="+mn-ea"/>
              <a:ea typeface="+mn-ea"/>
              <a:cs typeface="+mn-cs"/>
            </a:rPr>
            <a:t> </a:t>
          </a:r>
          <a:r>
            <a:rPr lang="ko-KR" altLang="en-US" sz="1600" baseline="0">
              <a:solidFill>
                <a:schemeClr val="dk1"/>
              </a:solidFill>
              <a:latin typeface="+mn-ea"/>
              <a:ea typeface="+mn-ea"/>
              <a:cs typeface="+mn-cs"/>
            </a:rPr>
            <a:t>작성</a:t>
          </a:r>
          <a:r>
            <a:rPr lang="en-US" altLang="ko-KR" sz="1600" baseline="0">
              <a:solidFill>
                <a:schemeClr val="dk1"/>
              </a:solidFill>
              <a:latin typeface="+mn-ea"/>
              <a:ea typeface="+mn-ea"/>
              <a:cs typeface="+mn-cs"/>
            </a:rPr>
            <a:t>(</a:t>
          </a:r>
          <a:r>
            <a:rPr lang="ko-KR" altLang="en-US" sz="1600" baseline="0">
              <a:solidFill>
                <a:schemeClr val="dk1"/>
              </a:solidFill>
              <a:latin typeface="+mn-ea"/>
              <a:ea typeface="+mn-ea"/>
              <a:cs typeface="+mn-cs"/>
            </a:rPr>
            <a:t>선택</a:t>
          </a:r>
          <a:r>
            <a:rPr lang="en-US" altLang="ko-KR" sz="1600" baseline="0">
              <a:solidFill>
                <a:schemeClr val="dk1"/>
              </a:solidFill>
              <a:latin typeface="+mn-ea"/>
              <a:ea typeface="+mn-ea"/>
              <a:cs typeface="+mn-cs"/>
            </a:rPr>
            <a:t>): </a:t>
          </a:r>
          <a:r>
            <a:rPr lang="ko-KR" altLang="en-US" sz="1600" baseline="0">
              <a:solidFill>
                <a:schemeClr val="dk1"/>
              </a:solidFill>
              <a:latin typeface="+mn-ea"/>
              <a:ea typeface="+mn-ea"/>
              <a:cs typeface="+mn-cs"/>
            </a:rPr>
            <a:t>휘발유</a:t>
          </a:r>
          <a:r>
            <a:rPr lang="en-US" altLang="ko-KR" sz="1600" baseline="0">
              <a:solidFill>
                <a:schemeClr val="dk1"/>
              </a:solidFill>
              <a:latin typeface="+mn-ea"/>
              <a:ea typeface="+mn-ea"/>
              <a:cs typeface="+mn-cs"/>
            </a:rPr>
            <a:t>, LPG, </a:t>
          </a:r>
          <a:r>
            <a:rPr lang="ko-KR" altLang="en-US" sz="1600" baseline="0">
              <a:solidFill>
                <a:schemeClr val="dk1"/>
              </a:solidFill>
              <a:latin typeface="+mn-ea"/>
              <a:ea typeface="+mn-ea"/>
              <a:cs typeface="+mn-cs"/>
            </a:rPr>
            <a:t>경유</a:t>
          </a:r>
          <a:endParaRPr lang="en-US" altLang="ko-KR" sz="1600">
            <a:solidFill>
              <a:schemeClr val="dk1"/>
            </a:solidFill>
            <a:latin typeface="+mn-ea"/>
            <a:ea typeface="+mn-ea"/>
            <a:cs typeface="+mn-cs"/>
          </a:endParaRPr>
        </a:p>
        <a:p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   ⑥ 배기량 작성</a:t>
          </a:r>
          <a:r>
            <a:rPr lang="en-US" altLang="ko-KR" sz="1600">
              <a:solidFill>
                <a:schemeClr val="dk1"/>
              </a:solidFill>
              <a:latin typeface="+mn-ea"/>
              <a:ea typeface="+mn-ea"/>
              <a:cs typeface="+mn-cs"/>
            </a:rPr>
            <a:t>(</a:t>
          </a:r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선택</a:t>
          </a:r>
          <a:r>
            <a:rPr lang="en-US" altLang="ko-KR" sz="1600">
              <a:solidFill>
                <a:schemeClr val="dk1"/>
              </a:solidFill>
              <a:latin typeface="+mn-ea"/>
              <a:ea typeface="+mn-ea"/>
              <a:cs typeface="+mn-cs"/>
            </a:rPr>
            <a:t>): </a:t>
          </a:r>
          <a:r>
            <a:rPr lang="en-US" altLang="ko-KR" sz="160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1,500cc </a:t>
          </a:r>
          <a:r>
            <a:rPr lang="ko-KR" altLang="ko-KR" sz="160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초과</a:t>
          </a:r>
          <a:r>
            <a:rPr lang="en-US" altLang="ko-KR" sz="160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, 1,500cc </a:t>
          </a:r>
          <a:r>
            <a:rPr lang="ko-KR" altLang="ko-KR" sz="160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이하</a:t>
          </a:r>
          <a:r>
            <a:rPr lang="en-US" altLang="ko-KR" sz="160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, 1,000cc </a:t>
          </a:r>
          <a:r>
            <a:rPr lang="ko-KR" altLang="ko-KR" sz="160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이하</a:t>
          </a:r>
          <a:endParaRPr lang="en-US" altLang="ko-KR" sz="1600">
            <a:solidFill>
              <a:schemeClr val="dk1"/>
            </a:solidFill>
            <a:latin typeface="+mn-ea"/>
            <a:ea typeface="+mn-ea"/>
            <a:cs typeface="+mn-cs"/>
          </a:endParaRPr>
        </a:p>
        <a:p>
          <a:r>
            <a:rPr lang="en-US" altLang="ko-KR" sz="1600" b="1">
              <a:solidFill>
                <a:srgbClr val="0000FF"/>
              </a:solidFill>
              <a:latin typeface="+mn-ea"/>
              <a:ea typeface="+mn-ea"/>
              <a:cs typeface="+mn-cs"/>
            </a:rPr>
            <a:t>    * LPG,</a:t>
          </a:r>
          <a:r>
            <a:rPr lang="en-US" altLang="ko-KR" sz="1600" b="1" baseline="0">
              <a:solidFill>
                <a:srgbClr val="0000FF"/>
              </a:solidFill>
              <a:latin typeface="+mn-ea"/>
              <a:ea typeface="+mn-ea"/>
              <a:cs typeface="+mn-cs"/>
            </a:rPr>
            <a:t> </a:t>
          </a:r>
          <a:r>
            <a:rPr lang="ko-KR" altLang="en-US" sz="1600" b="1" baseline="0">
              <a:solidFill>
                <a:srgbClr val="0000FF"/>
              </a:solidFill>
              <a:latin typeface="+mn-ea"/>
              <a:ea typeface="+mn-ea"/>
              <a:cs typeface="+mn-cs"/>
            </a:rPr>
            <a:t>경유는 입력 필요 없음</a:t>
          </a:r>
          <a:endParaRPr lang="en-US" altLang="ko-KR" sz="1600" b="1">
            <a:solidFill>
              <a:srgbClr val="0000FF"/>
            </a:solidFill>
            <a:latin typeface="+mn-ea"/>
            <a:ea typeface="+mn-ea"/>
            <a:cs typeface="+mn-cs"/>
          </a:endParaRPr>
        </a:p>
        <a:p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   ⑦ 유류단가 작성</a:t>
          </a:r>
          <a:r>
            <a:rPr lang="en-US" altLang="ko-KR" sz="1600">
              <a:solidFill>
                <a:schemeClr val="dk1"/>
              </a:solidFill>
              <a:latin typeface="+mn-ea"/>
              <a:ea typeface="+mn-ea"/>
              <a:cs typeface="+mn-cs"/>
            </a:rPr>
            <a:t>(opinet.co.kr </a:t>
          </a:r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참고</a:t>
          </a:r>
          <a:r>
            <a:rPr lang="en-US" altLang="ko-KR" sz="1600">
              <a:solidFill>
                <a:schemeClr val="dk1"/>
              </a:solidFill>
              <a:latin typeface="+mn-ea"/>
              <a:ea typeface="+mn-ea"/>
              <a:cs typeface="+mn-cs"/>
            </a:rPr>
            <a:t>)</a:t>
          </a:r>
        </a:p>
        <a:p>
          <a:r>
            <a:rPr lang="ko-KR" altLang="en-US" sz="1600">
              <a:solidFill>
                <a:schemeClr val="dk1"/>
              </a:solidFill>
              <a:latin typeface="+mn-ea"/>
              <a:ea typeface="+mn-ea"/>
              <a:cs typeface="+mn-cs"/>
            </a:rPr>
            <a:t>   ⑧ 세부 표 작성</a:t>
          </a:r>
          <a:endParaRPr lang="en-US" altLang="ko-KR" sz="1600">
            <a:solidFill>
              <a:schemeClr val="dk1"/>
            </a:solidFill>
            <a:latin typeface="+mn-ea"/>
            <a:ea typeface="+mn-ea"/>
            <a:cs typeface="+mn-cs"/>
          </a:endParaRPr>
        </a:p>
        <a:p>
          <a:endParaRPr lang="en-US" altLang="ko-KR" sz="1600">
            <a:solidFill>
              <a:schemeClr val="dk1"/>
            </a:solidFill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6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2. </a:t>
          </a:r>
          <a:r>
            <a:rPr lang="ko-KR" altLang="en-US" sz="16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택시</a:t>
          </a:r>
          <a:r>
            <a:rPr lang="ko-KR" altLang="ko-KR" sz="16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이용 시</a:t>
          </a:r>
          <a:endParaRPr lang="ko-KR" altLang="ko-KR" sz="1600">
            <a:effectLst/>
            <a:latin typeface="+mn-ea"/>
            <a:ea typeface="+mn-ea"/>
          </a:endParaRPr>
        </a:p>
        <a:p>
          <a:r>
            <a:rPr lang="en-US" altLang="ko-KR" sz="1600">
              <a:solidFill>
                <a:schemeClr val="dk1"/>
              </a:solidFill>
              <a:latin typeface="+mn-ea"/>
              <a:ea typeface="+mn-ea"/>
              <a:cs typeface="+mn-cs"/>
            </a:rPr>
            <a:t> </a:t>
          </a:r>
          <a:r>
            <a:rPr lang="en-US" altLang="ko-KR" sz="16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</a:t>
          </a:r>
          <a:r>
            <a:rPr lang="ko-KR" altLang="ko-KR" sz="16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① 작성일 작성</a:t>
          </a:r>
          <a:endParaRPr lang="ko-KR" altLang="ko-KR" sz="1600">
            <a:effectLst/>
            <a:latin typeface="+mn-ea"/>
            <a:ea typeface="+mn-ea"/>
          </a:endParaRPr>
        </a:p>
        <a:p>
          <a:r>
            <a:rPr lang="ko-KR" altLang="ko-KR" sz="16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② 신청자 작성 </a:t>
          </a:r>
          <a:r>
            <a:rPr lang="en-US" altLang="ko-KR" sz="16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6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인쇄 후 자필 서명</a:t>
          </a:r>
          <a:r>
            <a:rPr lang="en-US" altLang="ko-KR" sz="16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6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③ </a:t>
          </a:r>
          <a:r>
            <a:rPr lang="ko-KR" altLang="en-US" sz="16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세부 표 작성</a:t>
          </a:r>
          <a:endParaRPr lang="en-US" altLang="ko-KR" sz="16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6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     * </a:t>
          </a:r>
          <a:r>
            <a:rPr lang="ko-KR" altLang="en-US" sz="16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통행료 등에 택시영수증 금액 작성</a:t>
          </a:r>
          <a:endParaRPr lang="en-US" altLang="ko-KR" sz="1600" b="1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------------------------------------------------------------------------------------------------------</a:t>
          </a:r>
          <a:endParaRPr lang="ko-KR" altLang="ko-KR" sz="1400" b="1">
            <a:solidFill>
              <a:srgbClr val="0000FF"/>
            </a:solidFill>
            <a:effectLst/>
            <a:latin typeface="+mn-ea"/>
            <a:ea typeface="+mn-ea"/>
          </a:endParaRPr>
        </a:p>
        <a:p>
          <a:endParaRPr lang="en-US" altLang="ko-KR" sz="14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 editAs="oneCell">
    <xdr:from>
      <xdr:col>44</xdr:col>
      <xdr:colOff>283508</xdr:colOff>
      <xdr:row>4</xdr:row>
      <xdr:rowOff>0</xdr:rowOff>
    </xdr:from>
    <xdr:to>
      <xdr:col>56</xdr:col>
      <xdr:colOff>103337</xdr:colOff>
      <xdr:row>15</xdr:row>
      <xdr:rowOff>5257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FBC85E0-7E29-4C7C-90AF-065A39911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417" y="987136"/>
          <a:ext cx="7716920" cy="2793486"/>
        </a:xfrm>
        <a:prstGeom prst="rect">
          <a:avLst/>
        </a:prstGeom>
      </xdr:spPr>
    </xdr:pic>
    <xdr:clientData/>
  </xdr:twoCellAnchor>
  <xdr:twoCellAnchor>
    <xdr:from>
      <xdr:col>44</xdr:col>
      <xdr:colOff>119496</xdr:colOff>
      <xdr:row>9</xdr:row>
      <xdr:rowOff>64178</xdr:rowOff>
    </xdr:from>
    <xdr:to>
      <xdr:col>56</xdr:col>
      <xdr:colOff>233796</xdr:colOff>
      <xdr:row>10</xdr:row>
      <xdr:rowOff>270979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11717826-02D9-4A10-8204-2B36FE1A879A}"/>
            </a:ext>
          </a:extLst>
        </xdr:cNvPr>
        <xdr:cNvSpPr/>
      </xdr:nvSpPr>
      <xdr:spPr>
        <a:xfrm>
          <a:off x="10129405" y="2228951"/>
          <a:ext cx="8011391" cy="518528"/>
        </a:xfrm>
        <a:prstGeom prst="rect">
          <a:avLst/>
        </a:prstGeom>
        <a:noFill/>
        <a:ln w="730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113869</xdr:colOff>
      <xdr:row>42</xdr:row>
      <xdr:rowOff>68835</xdr:rowOff>
    </xdr:from>
    <xdr:to>
      <xdr:col>45</xdr:col>
      <xdr:colOff>394607</xdr:colOff>
      <xdr:row>47</xdr:row>
      <xdr:rowOff>56828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FD3B6E-5D64-4B57-9BD6-68E71D358B69}"/>
            </a:ext>
          </a:extLst>
        </xdr:cNvPr>
        <xdr:cNvSpPr txBox="1"/>
      </xdr:nvSpPr>
      <xdr:spPr>
        <a:xfrm>
          <a:off x="7397693" y="13123688"/>
          <a:ext cx="3743355" cy="1388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5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※ </a:t>
          </a:r>
          <a:r>
            <a:rPr lang="ko-KR" altLang="en-US" sz="105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리터당 주행거리 참고사항</a:t>
          </a:r>
          <a:endParaRPr lang="en-US" altLang="ko-KR" sz="1050">
            <a:solidFill>
              <a:srgbClr val="0000FF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r>
            <a:rPr lang="en-US" altLang="ko-KR" sz="105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1.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휘발유                    </a:t>
          </a:r>
          <a:endParaRPr lang="en-US" altLang="ko-KR" sz="1050" baseline="0">
            <a:solidFill>
              <a:srgbClr val="0000FF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- 1,500cc 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초과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(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리터당 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7km)    </a:t>
          </a:r>
        </a:p>
        <a:p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- 1,500cc 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이하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(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리터당 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8km)</a:t>
          </a:r>
        </a:p>
        <a:p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- 1,000cc 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미만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(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리터당 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9km)</a:t>
          </a:r>
        </a:p>
        <a:p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2. 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경유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: 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리터당 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7km</a:t>
          </a:r>
        </a:p>
        <a:p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3. LPG: </a:t>
          </a:r>
          <a:r>
            <a:rPr lang="ko-KR" altLang="en-US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리터당 </a:t>
          </a:r>
          <a:r>
            <a:rPr lang="en-US" altLang="ko-KR" sz="1050" baseline="0">
              <a:solidFill>
                <a:srgbClr val="0000FF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5km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AS70"/>
  <sheetViews>
    <sheetView showGridLines="0" tabSelected="1" view="pageBreakPreview" zoomScale="85" zoomScaleNormal="70" zoomScaleSheetLayoutView="85" workbookViewId="0">
      <selection activeCell="O8" sqref="O8"/>
    </sheetView>
  </sheetViews>
  <sheetFormatPr defaultColWidth="9" defaultRowHeight="20.25" x14ac:dyDescent="0.3"/>
  <cols>
    <col min="1" max="1" width="3.625" style="1" customWidth="1"/>
    <col min="2" max="16" width="3.625" style="2" customWidth="1"/>
    <col min="17" max="26" width="3" style="2" customWidth="1"/>
    <col min="27" max="38" width="3.625" style="1" customWidth="1"/>
    <col min="39" max="39" width="3.625" style="3" hidden="1" customWidth="1"/>
    <col min="40" max="42" width="8.625" style="3" hidden="1" customWidth="1"/>
    <col min="43" max="43" width="13" style="3" hidden="1" customWidth="1"/>
    <col min="44" max="44" width="17.625" style="25" hidden="1" customWidth="1"/>
    <col min="45" max="60" width="8.625" style="1" customWidth="1"/>
    <col min="61" max="106" width="3.625" style="1" customWidth="1"/>
    <col min="107" max="16384" width="9" style="1"/>
  </cols>
  <sheetData>
    <row r="1" spans="1:44" ht="5.0999999999999996" customHeight="1" x14ac:dyDescent="0.3">
      <c r="AM1" s="10"/>
      <c r="AN1" s="10"/>
      <c r="AO1" s="10"/>
      <c r="AP1" s="10"/>
      <c r="AQ1" s="10"/>
    </row>
    <row r="2" spans="1:44" ht="23.1" customHeight="1" x14ac:dyDescent="0.3">
      <c r="A2" s="87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9"/>
    </row>
    <row r="3" spans="1:44" ht="23.1" customHeight="1" x14ac:dyDescent="0.3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2"/>
      <c r="AM3" s="30"/>
      <c r="AN3" s="30"/>
      <c r="AO3" s="30"/>
      <c r="AP3" s="30"/>
      <c r="AQ3" s="30"/>
      <c r="AR3" s="30"/>
    </row>
    <row r="4" spans="1:44" ht="23.1" customHeight="1" x14ac:dyDescent="0.3">
      <c r="A4" s="93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5"/>
    </row>
    <row r="5" spans="1:44" ht="9.9499999999999993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8"/>
      <c r="AN5" s="18"/>
      <c r="AO5" s="18"/>
      <c r="AP5" s="18"/>
      <c r="AQ5" s="18"/>
    </row>
    <row r="6" spans="1:44" ht="24" customHeight="1" x14ac:dyDescent="0.3">
      <c r="A6" s="84" t="s">
        <v>25</v>
      </c>
      <c r="B6" s="84"/>
      <c r="C6" s="84"/>
      <c r="D6" s="84"/>
      <c r="E6" s="84"/>
      <c r="F6" s="84"/>
      <c r="G6" s="84"/>
      <c r="H6" s="109">
        <v>45809</v>
      </c>
      <c r="I6" s="109"/>
      <c r="J6" s="109"/>
      <c r="K6" s="109"/>
      <c r="L6" s="109"/>
      <c r="M6" s="109"/>
      <c r="N6" s="109"/>
      <c r="O6" s="16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3"/>
      <c r="AM6" s="18"/>
      <c r="AN6" s="18"/>
      <c r="AO6" s="18"/>
      <c r="AP6" s="18"/>
      <c r="AQ6" s="18"/>
    </row>
    <row r="7" spans="1:44" ht="24" customHeight="1" x14ac:dyDescent="0.3">
      <c r="A7" s="84" t="s">
        <v>26</v>
      </c>
      <c r="B7" s="84"/>
      <c r="C7" s="84"/>
      <c r="D7" s="84"/>
      <c r="E7" s="84"/>
      <c r="F7" s="84"/>
      <c r="G7" s="84"/>
      <c r="H7" s="108" t="s">
        <v>21</v>
      </c>
      <c r="I7" s="108"/>
      <c r="J7" s="108"/>
      <c r="K7" s="108"/>
      <c r="L7" s="108"/>
      <c r="M7" s="108"/>
      <c r="N7" s="108"/>
      <c r="O7" s="119" t="s">
        <v>33</v>
      </c>
      <c r="P7" s="119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3"/>
      <c r="AM7" s="19"/>
      <c r="AN7" s="19"/>
      <c r="AO7" s="19"/>
      <c r="AP7" s="19"/>
      <c r="AQ7" s="19"/>
    </row>
    <row r="8" spans="1:44" ht="24" customHeight="1" x14ac:dyDescent="0.3">
      <c r="A8" s="84" t="s">
        <v>35</v>
      </c>
      <c r="B8" s="84"/>
      <c r="C8" s="84"/>
      <c r="D8" s="84"/>
      <c r="E8" s="84"/>
      <c r="F8" s="84"/>
      <c r="G8" s="84"/>
      <c r="H8" s="85">
        <f>SUM(AJ19:AL40)</f>
        <v>22430</v>
      </c>
      <c r="I8" s="85"/>
      <c r="J8" s="85"/>
      <c r="K8" s="85"/>
      <c r="L8" s="85"/>
      <c r="M8" s="85"/>
      <c r="N8" s="85"/>
      <c r="O8" s="40" t="str">
        <f>"(유류비 "&amp;TEXT(SUM(AD19:AF40,),"#,##0")&amp;"원, 통행료 등 "&amp;TEXT(SUM(AG19:AI40),"#,##0")&amp;"원)"</f>
        <v>(유류비 19,430원, 통행료 등 3,000원)</v>
      </c>
      <c r="P8" s="20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9"/>
      <c r="AM8" s="30"/>
      <c r="AN8" s="30"/>
      <c r="AO8" s="30"/>
      <c r="AP8" s="30"/>
      <c r="AQ8" s="30"/>
      <c r="AR8" s="30"/>
    </row>
    <row r="9" spans="1:44" ht="9.9499999999999993" customHeight="1" x14ac:dyDescent="0.3">
      <c r="A9" s="29"/>
      <c r="B9" s="29"/>
      <c r="C9" s="29"/>
      <c r="D9" s="29"/>
      <c r="E9" s="29"/>
      <c r="F9" s="29"/>
      <c r="G9" s="29"/>
      <c r="H9" s="31"/>
      <c r="I9" s="31"/>
      <c r="J9" s="31"/>
      <c r="K9" s="31"/>
      <c r="L9" s="31"/>
      <c r="M9" s="31"/>
      <c r="N9" s="31"/>
      <c r="O9" s="32"/>
      <c r="P9" s="32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3"/>
      <c r="AM9" s="30"/>
      <c r="AN9" s="30"/>
      <c r="AO9" s="30"/>
      <c r="AP9" s="30"/>
      <c r="AQ9" s="30"/>
      <c r="AR9" s="30"/>
    </row>
    <row r="10" spans="1:44" ht="24" customHeight="1" x14ac:dyDescent="0.3">
      <c r="A10" s="82" t="s">
        <v>34</v>
      </c>
      <c r="B10" s="82"/>
      <c r="C10" s="82"/>
      <c r="D10" s="82"/>
      <c r="E10" s="82"/>
      <c r="F10" s="82"/>
      <c r="G10" s="82"/>
      <c r="H10" s="83"/>
      <c r="I10" s="83"/>
      <c r="J10" s="83"/>
      <c r="K10" s="83"/>
      <c r="L10" s="83"/>
      <c r="M10" s="83"/>
      <c r="N10" s="83"/>
      <c r="O10" s="35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7"/>
      <c r="AM10" s="30"/>
      <c r="AN10" s="30"/>
      <c r="AO10" s="30"/>
      <c r="AP10" s="30"/>
      <c r="AQ10" s="30"/>
      <c r="AR10" s="30"/>
    </row>
    <row r="11" spans="1:44" ht="24" customHeight="1" x14ac:dyDescent="0.3">
      <c r="A11" s="84" t="s">
        <v>27</v>
      </c>
      <c r="B11" s="84"/>
      <c r="C11" s="84"/>
      <c r="D11" s="84"/>
      <c r="E11" s="84"/>
      <c r="F11" s="84"/>
      <c r="G11" s="84"/>
      <c r="H11" s="107" t="s">
        <v>45</v>
      </c>
      <c r="I11" s="107"/>
      <c r="J11" s="107"/>
      <c r="K11" s="107"/>
      <c r="L11" s="107"/>
      <c r="M11" s="107"/>
      <c r="N11" s="107"/>
      <c r="O11" s="16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3"/>
    </row>
    <row r="12" spans="1:44" ht="24" customHeight="1" x14ac:dyDescent="0.3">
      <c r="A12" s="84" t="s">
        <v>28</v>
      </c>
      <c r="B12" s="84"/>
      <c r="C12" s="84"/>
      <c r="D12" s="84"/>
      <c r="E12" s="84"/>
      <c r="F12" s="84"/>
      <c r="G12" s="84"/>
      <c r="H12" s="107" t="s">
        <v>46</v>
      </c>
      <c r="I12" s="107"/>
      <c r="J12" s="107"/>
      <c r="K12" s="107"/>
      <c r="L12" s="107"/>
      <c r="M12" s="107"/>
      <c r="N12" s="107"/>
      <c r="O12" s="16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3"/>
      <c r="AM12" s="18"/>
      <c r="AN12" s="18"/>
      <c r="AO12" s="18"/>
      <c r="AP12" s="18"/>
      <c r="AQ12" s="18"/>
    </row>
    <row r="13" spans="1:44" ht="5.0999999999999996" customHeight="1" x14ac:dyDescent="0.3">
      <c r="A13" s="26"/>
      <c r="B13" s="26"/>
      <c r="C13" s="26"/>
      <c r="D13" s="26"/>
      <c r="E13" s="26"/>
      <c r="F13" s="27"/>
      <c r="G13" s="27"/>
      <c r="H13" s="27"/>
      <c r="I13" s="27"/>
      <c r="J13" s="27"/>
      <c r="K13" s="16"/>
      <c r="L13" s="16"/>
      <c r="M13" s="16"/>
      <c r="N13" s="16"/>
      <c r="O13" s="16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3"/>
      <c r="AM13" s="25"/>
      <c r="AN13" s="25"/>
      <c r="AO13" s="25"/>
      <c r="AP13" s="25"/>
      <c r="AQ13" s="25"/>
    </row>
    <row r="14" spans="1:44" ht="24" customHeight="1" x14ac:dyDescent="0.3">
      <c r="A14" s="26"/>
      <c r="B14" s="104" t="s">
        <v>31</v>
      </c>
      <c r="C14" s="105"/>
      <c r="D14" s="105"/>
      <c r="E14" s="105"/>
      <c r="F14" s="106"/>
      <c r="G14" s="104" t="s">
        <v>32</v>
      </c>
      <c r="H14" s="105"/>
      <c r="I14" s="105"/>
      <c r="J14" s="105"/>
      <c r="K14" s="106"/>
      <c r="L14" s="104" t="s">
        <v>22</v>
      </c>
      <c r="M14" s="105"/>
      <c r="N14" s="105"/>
      <c r="O14" s="105"/>
      <c r="P14" s="106"/>
      <c r="Q14" s="102"/>
      <c r="R14" s="102"/>
      <c r="S14" s="102"/>
      <c r="T14" s="102"/>
      <c r="U14" s="102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3"/>
      <c r="AM14" s="25"/>
      <c r="AN14" s="25"/>
      <c r="AO14" s="25"/>
      <c r="AP14" s="25"/>
      <c r="AQ14" s="25"/>
    </row>
    <row r="15" spans="1:44" ht="24" customHeight="1" x14ac:dyDescent="0.3">
      <c r="A15" s="26"/>
      <c r="B15" s="103" t="s">
        <v>36</v>
      </c>
      <c r="C15" s="103"/>
      <c r="D15" s="103"/>
      <c r="E15" s="103"/>
      <c r="F15" s="103"/>
      <c r="G15" s="103" t="s">
        <v>42</v>
      </c>
      <c r="H15" s="103"/>
      <c r="I15" s="103"/>
      <c r="J15" s="103"/>
      <c r="K15" s="103"/>
      <c r="L15" s="118">
        <v>1360</v>
      </c>
      <c r="M15" s="118"/>
      <c r="N15" s="118"/>
      <c r="O15" s="118"/>
      <c r="P15" s="118"/>
      <c r="Q15" s="102"/>
      <c r="R15" s="102"/>
      <c r="S15" s="102"/>
      <c r="T15" s="102"/>
      <c r="U15" s="102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3"/>
      <c r="AM15" s="25"/>
      <c r="AN15" s="25"/>
      <c r="AO15" s="25"/>
      <c r="AP15" s="25"/>
      <c r="AQ15" s="25"/>
    </row>
    <row r="16" spans="1:44" s="33" customFormat="1" ht="9.9499999999999993" customHeight="1" x14ac:dyDescent="0.3"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</row>
    <row r="17" spans="1:44" ht="21.95" customHeight="1" x14ac:dyDescent="0.3">
      <c r="A17" s="81" t="s">
        <v>11</v>
      </c>
      <c r="B17" s="76"/>
      <c r="C17" s="76"/>
      <c r="D17" s="76"/>
      <c r="E17" s="76"/>
      <c r="F17" s="76"/>
      <c r="G17" s="76"/>
      <c r="H17" s="76"/>
      <c r="I17" s="76" t="s">
        <v>23</v>
      </c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8"/>
      <c r="AD17" s="81" t="s">
        <v>9</v>
      </c>
      <c r="AE17" s="76"/>
      <c r="AF17" s="76"/>
      <c r="AG17" s="76"/>
      <c r="AH17" s="76"/>
      <c r="AI17" s="76"/>
      <c r="AJ17" s="96"/>
      <c r="AK17" s="96"/>
      <c r="AL17" s="97"/>
    </row>
    <row r="18" spans="1:44" ht="21.95" customHeight="1" x14ac:dyDescent="0.3">
      <c r="A18" s="22" t="s">
        <v>1</v>
      </c>
      <c r="B18" s="23" t="s">
        <v>2</v>
      </c>
      <c r="C18" s="86" t="s">
        <v>3</v>
      </c>
      <c r="D18" s="86"/>
      <c r="E18" s="86"/>
      <c r="F18" s="86" t="s">
        <v>4</v>
      </c>
      <c r="G18" s="86"/>
      <c r="H18" s="86"/>
      <c r="I18" s="75" t="s">
        <v>5</v>
      </c>
      <c r="J18" s="77"/>
      <c r="K18" s="75" t="s">
        <v>6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7"/>
      <c r="Y18" s="75" t="s">
        <v>24</v>
      </c>
      <c r="Z18" s="76"/>
      <c r="AA18" s="76"/>
      <c r="AB18" s="76"/>
      <c r="AC18" s="78"/>
      <c r="AD18" s="98" t="s">
        <v>20</v>
      </c>
      <c r="AE18" s="86"/>
      <c r="AF18" s="86"/>
      <c r="AG18" s="99" t="s">
        <v>19</v>
      </c>
      <c r="AH18" s="100"/>
      <c r="AI18" s="101"/>
      <c r="AJ18" s="74" t="s">
        <v>10</v>
      </c>
      <c r="AK18" s="74"/>
      <c r="AL18" s="74"/>
      <c r="AN18" s="8" t="s">
        <v>1</v>
      </c>
      <c r="AO18" s="8" t="s">
        <v>2</v>
      </c>
      <c r="AP18" s="8" t="s">
        <v>13</v>
      </c>
      <c r="AQ18" s="8" t="s">
        <v>15</v>
      </c>
      <c r="AR18" s="8" t="s">
        <v>8</v>
      </c>
    </row>
    <row r="19" spans="1:44" ht="21.95" customHeight="1" x14ac:dyDescent="0.3">
      <c r="A19" s="21">
        <v>6</v>
      </c>
      <c r="B19" s="24">
        <v>21</v>
      </c>
      <c r="C19" s="66" t="s">
        <v>7</v>
      </c>
      <c r="D19" s="66"/>
      <c r="E19" s="66"/>
      <c r="F19" s="66" t="s">
        <v>43</v>
      </c>
      <c r="G19" s="66"/>
      <c r="H19" s="66"/>
      <c r="I19" s="67">
        <v>100</v>
      </c>
      <c r="J19" s="68"/>
      <c r="K19" s="71" t="s">
        <v>44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3"/>
      <c r="Y19" s="54"/>
      <c r="Z19" s="55"/>
      <c r="AA19" s="55"/>
      <c r="AB19" s="55"/>
      <c r="AC19" s="56"/>
      <c r="AD19" s="52">
        <f>IF(OR($B$15="", $L$15="", $I19="", AND($B$15="휘발유", $G$15="")), "", ROUND($I19 * $L$15 / IF($B$15="휘발유", IF($G$15="1500cc 초과", 7, IF($G$15="1500cc 이하", 8, IF($G$15="1000cc 미만", 9, 0))), IF($B$15="경유", 7, IF($B$15="LPG", 5, 0))), -1))</f>
        <v>19430</v>
      </c>
      <c r="AE19" s="53"/>
      <c r="AF19" s="53"/>
      <c r="AG19" s="69">
        <v>3000</v>
      </c>
      <c r="AH19" s="69"/>
      <c r="AI19" s="70"/>
      <c r="AJ19" s="57">
        <f>SUM(AD19:AI19)</f>
        <v>22430</v>
      </c>
      <c r="AK19" s="58"/>
      <c r="AL19" s="59"/>
      <c r="AN19" s="12">
        <v>1</v>
      </c>
      <c r="AO19" s="12">
        <v>1</v>
      </c>
      <c r="AP19" s="12" t="s">
        <v>12</v>
      </c>
      <c r="AQ19" s="12" t="s">
        <v>16</v>
      </c>
      <c r="AR19" s="28" t="s">
        <v>29</v>
      </c>
    </row>
    <row r="20" spans="1:44" ht="21.95" customHeight="1" x14ac:dyDescent="0.3">
      <c r="A20" s="21"/>
      <c r="B20" s="24"/>
      <c r="C20" s="66"/>
      <c r="D20" s="66"/>
      <c r="E20" s="66"/>
      <c r="F20" s="66"/>
      <c r="G20" s="66"/>
      <c r="H20" s="66"/>
      <c r="I20" s="67"/>
      <c r="J20" s="68"/>
      <c r="K20" s="71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3"/>
      <c r="Y20" s="54"/>
      <c r="Z20" s="55"/>
      <c r="AA20" s="55"/>
      <c r="AB20" s="55"/>
      <c r="AC20" s="56"/>
      <c r="AD20" s="52" t="str">
        <f t="shared" ref="AD20:AD40" si="0">IF(OR($B$15="", $L$15="", $I20="", AND($B$15="휘발유", $G$15="")), "", ROUND($I20 * $L$15 / IF($B$15="휘발유", IF($G$15="1500cc 초과", 7, IF($G$15="1500cc 이하", 8, IF($G$15="1000cc 미만", 9, 0))), IF($B$15="경유", 7, IF($B$15="LPG", 5, 0))), -1))</f>
        <v/>
      </c>
      <c r="AE20" s="53"/>
      <c r="AF20" s="53"/>
      <c r="AG20" s="69"/>
      <c r="AH20" s="69"/>
      <c r="AI20" s="70"/>
      <c r="AJ20" s="57">
        <f t="shared" ref="AJ20:AJ40" si="1">SUM(AD20:AI20)</f>
        <v>0</v>
      </c>
      <c r="AK20" s="58"/>
      <c r="AL20" s="59"/>
      <c r="AN20" s="12">
        <v>2</v>
      </c>
      <c r="AO20" s="12">
        <v>2</v>
      </c>
      <c r="AP20" s="12" t="s">
        <v>14</v>
      </c>
      <c r="AQ20" s="12" t="s">
        <v>17</v>
      </c>
      <c r="AR20" s="28" t="s">
        <v>30</v>
      </c>
    </row>
    <row r="21" spans="1:44" ht="21.95" customHeight="1" x14ac:dyDescent="0.3">
      <c r="A21" s="21"/>
      <c r="B21" s="24"/>
      <c r="C21" s="66"/>
      <c r="D21" s="66"/>
      <c r="E21" s="66"/>
      <c r="F21" s="66"/>
      <c r="G21" s="66"/>
      <c r="H21" s="66"/>
      <c r="I21" s="67"/>
      <c r="J21" s="68"/>
      <c r="K21" s="71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3"/>
      <c r="Y21" s="54"/>
      <c r="Z21" s="55"/>
      <c r="AA21" s="55"/>
      <c r="AB21" s="55"/>
      <c r="AC21" s="56"/>
      <c r="AD21" s="52" t="str">
        <f t="shared" si="0"/>
        <v/>
      </c>
      <c r="AE21" s="53"/>
      <c r="AF21" s="53"/>
      <c r="AG21" s="69"/>
      <c r="AH21" s="69"/>
      <c r="AI21" s="70"/>
      <c r="AJ21" s="57">
        <f t="shared" si="1"/>
        <v>0</v>
      </c>
      <c r="AK21" s="58"/>
      <c r="AL21" s="59"/>
      <c r="AN21" s="12">
        <v>3</v>
      </c>
      <c r="AO21" s="12">
        <v>3</v>
      </c>
      <c r="AP21" s="12"/>
      <c r="AQ21" s="12" t="s">
        <v>18</v>
      </c>
      <c r="AR21" s="28" t="s">
        <v>47</v>
      </c>
    </row>
    <row r="22" spans="1:44" ht="21.95" customHeight="1" x14ac:dyDescent="0.3">
      <c r="A22" s="21"/>
      <c r="B22" s="24"/>
      <c r="C22" s="66"/>
      <c r="D22" s="66"/>
      <c r="E22" s="66"/>
      <c r="F22" s="66"/>
      <c r="G22" s="66"/>
      <c r="H22" s="66"/>
      <c r="I22" s="67"/>
      <c r="J22" s="68"/>
      <c r="K22" s="71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3"/>
      <c r="Y22" s="54"/>
      <c r="Z22" s="55"/>
      <c r="AA22" s="55"/>
      <c r="AB22" s="55"/>
      <c r="AC22" s="56"/>
      <c r="AD22" s="52" t="str">
        <f t="shared" si="0"/>
        <v/>
      </c>
      <c r="AE22" s="53"/>
      <c r="AF22" s="53"/>
      <c r="AG22" s="69"/>
      <c r="AH22" s="69"/>
      <c r="AI22" s="70"/>
      <c r="AJ22" s="57">
        <f t="shared" si="1"/>
        <v>0</v>
      </c>
      <c r="AK22" s="58"/>
      <c r="AL22" s="59"/>
      <c r="AN22" s="12">
        <v>4</v>
      </c>
      <c r="AO22" s="12">
        <v>4</v>
      </c>
      <c r="AP22" s="12"/>
      <c r="AQ22" s="12"/>
      <c r="AR22" s="12"/>
    </row>
    <row r="23" spans="1:44" ht="21.95" customHeight="1" x14ac:dyDescent="0.3">
      <c r="A23" s="21"/>
      <c r="B23" s="24"/>
      <c r="C23" s="66"/>
      <c r="D23" s="66"/>
      <c r="E23" s="66"/>
      <c r="F23" s="66"/>
      <c r="G23" s="66"/>
      <c r="H23" s="66"/>
      <c r="I23" s="67"/>
      <c r="J23" s="68"/>
      <c r="K23" s="71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3"/>
      <c r="Y23" s="54"/>
      <c r="Z23" s="55"/>
      <c r="AA23" s="55"/>
      <c r="AB23" s="55"/>
      <c r="AC23" s="56"/>
      <c r="AD23" s="52" t="str">
        <f t="shared" si="0"/>
        <v/>
      </c>
      <c r="AE23" s="53"/>
      <c r="AF23" s="53"/>
      <c r="AG23" s="69"/>
      <c r="AH23" s="69"/>
      <c r="AI23" s="70"/>
      <c r="AJ23" s="57">
        <f t="shared" si="1"/>
        <v>0</v>
      </c>
      <c r="AK23" s="58"/>
      <c r="AL23" s="59"/>
      <c r="AN23" s="12">
        <v>5</v>
      </c>
      <c r="AO23" s="12">
        <v>5</v>
      </c>
      <c r="AP23" s="12"/>
      <c r="AQ23" s="12"/>
      <c r="AR23" s="12"/>
    </row>
    <row r="24" spans="1:44" ht="21.95" customHeight="1" x14ac:dyDescent="0.3">
      <c r="A24" s="21"/>
      <c r="B24" s="24"/>
      <c r="C24" s="66"/>
      <c r="D24" s="66"/>
      <c r="E24" s="66"/>
      <c r="F24" s="66"/>
      <c r="G24" s="66"/>
      <c r="H24" s="66"/>
      <c r="I24" s="67"/>
      <c r="J24" s="68"/>
      <c r="K24" s="71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3"/>
      <c r="Y24" s="54"/>
      <c r="Z24" s="55"/>
      <c r="AA24" s="55"/>
      <c r="AB24" s="55"/>
      <c r="AC24" s="56"/>
      <c r="AD24" s="52" t="str">
        <f t="shared" si="0"/>
        <v/>
      </c>
      <c r="AE24" s="53"/>
      <c r="AF24" s="53"/>
      <c r="AG24" s="69"/>
      <c r="AH24" s="69"/>
      <c r="AI24" s="70"/>
      <c r="AJ24" s="57">
        <f t="shared" si="1"/>
        <v>0</v>
      </c>
      <c r="AK24" s="58"/>
      <c r="AL24" s="59"/>
      <c r="AN24" s="12">
        <v>6</v>
      </c>
      <c r="AO24" s="12">
        <v>6</v>
      </c>
      <c r="AP24" s="12"/>
      <c r="AQ24" s="12"/>
      <c r="AR24" s="12"/>
    </row>
    <row r="25" spans="1:44" ht="21.95" customHeight="1" x14ac:dyDescent="0.3">
      <c r="A25" s="21"/>
      <c r="B25" s="24"/>
      <c r="C25" s="66"/>
      <c r="D25" s="66"/>
      <c r="E25" s="66"/>
      <c r="F25" s="66"/>
      <c r="G25" s="66"/>
      <c r="H25" s="66"/>
      <c r="I25" s="67"/>
      <c r="J25" s="68"/>
      <c r="K25" s="71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3"/>
      <c r="Y25" s="54"/>
      <c r="Z25" s="55"/>
      <c r="AA25" s="55"/>
      <c r="AB25" s="55"/>
      <c r="AC25" s="56"/>
      <c r="AD25" s="52" t="str">
        <f t="shared" si="0"/>
        <v/>
      </c>
      <c r="AE25" s="53"/>
      <c r="AF25" s="53"/>
      <c r="AG25" s="69"/>
      <c r="AH25" s="69"/>
      <c r="AI25" s="70"/>
      <c r="AJ25" s="57">
        <f t="shared" si="1"/>
        <v>0</v>
      </c>
      <c r="AK25" s="58"/>
      <c r="AL25" s="59"/>
      <c r="AN25" s="12">
        <v>7</v>
      </c>
      <c r="AO25" s="12">
        <v>7</v>
      </c>
      <c r="AP25" s="12"/>
      <c r="AQ25" s="12"/>
      <c r="AR25" s="12"/>
    </row>
    <row r="26" spans="1:44" ht="21.95" customHeight="1" x14ac:dyDescent="0.3">
      <c r="A26" s="21"/>
      <c r="B26" s="24"/>
      <c r="C26" s="66"/>
      <c r="D26" s="66"/>
      <c r="E26" s="66"/>
      <c r="F26" s="66"/>
      <c r="G26" s="66"/>
      <c r="H26" s="66"/>
      <c r="I26" s="67"/>
      <c r="J26" s="68"/>
      <c r="K26" s="71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3"/>
      <c r="Y26" s="54"/>
      <c r="Z26" s="55"/>
      <c r="AA26" s="55"/>
      <c r="AB26" s="55"/>
      <c r="AC26" s="56"/>
      <c r="AD26" s="52" t="str">
        <f t="shared" si="0"/>
        <v/>
      </c>
      <c r="AE26" s="53"/>
      <c r="AF26" s="53"/>
      <c r="AG26" s="69"/>
      <c r="AH26" s="69"/>
      <c r="AI26" s="70"/>
      <c r="AJ26" s="57">
        <f t="shared" si="1"/>
        <v>0</v>
      </c>
      <c r="AK26" s="58"/>
      <c r="AL26" s="59"/>
      <c r="AN26" s="12">
        <v>8</v>
      </c>
      <c r="AO26" s="12">
        <v>8</v>
      </c>
      <c r="AP26" s="12"/>
      <c r="AQ26" s="12"/>
      <c r="AR26" s="12"/>
    </row>
    <row r="27" spans="1:44" ht="21.95" customHeight="1" x14ac:dyDescent="0.3">
      <c r="A27" s="21"/>
      <c r="B27" s="24"/>
      <c r="C27" s="66"/>
      <c r="D27" s="66"/>
      <c r="E27" s="66"/>
      <c r="F27" s="66"/>
      <c r="G27" s="66"/>
      <c r="H27" s="66"/>
      <c r="I27" s="67"/>
      <c r="J27" s="68"/>
      <c r="K27" s="71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3"/>
      <c r="Y27" s="54"/>
      <c r="Z27" s="55"/>
      <c r="AA27" s="55"/>
      <c r="AB27" s="55"/>
      <c r="AC27" s="56"/>
      <c r="AD27" s="52" t="str">
        <f t="shared" si="0"/>
        <v/>
      </c>
      <c r="AE27" s="53"/>
      <c r="AF27" s="53"/>
      <c r="AG27" s="69"/>
      <c r="AH27" s="69"/>
      <c r="AI27" s="70"/>
      <c r="AJ27" s="57">
        <f t="shared" si="1"/>
        <v>0</v>
      </c>
      <c r="AK27" s="58"/>
      <c r="AL27" s="59"/>
      <c r="AN27" s="12">
        <v>9</v>
      </c>
      <c r="AO27" s="12">
        <v>9</v>
      </c>
      <c r="AP27" s="12"/>
      <c r="AQ27" s="12"/>
      <c r="AR27" s="12"/>
    </row>
    <row r="28" spans="1:44" ht="21.95" customHeight="1" x14ac:dyDescent="0.3">
      <c r="A28" s="21"/>
      <c r="B28" s="24"/>
      <c r="C28" s="66"/>
      <c r="D28" s="66"/>
      <c r="E28" s="66"/>
      <c r="F28" s="66"/>
      <c r="G28" s="66"/>
      <c r="H28" s="66"/>
      <c r="I28" s="67"/>
      <c r="J28" s="68"/>
      <c r="K28" s="71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3"/>
      <c r="Y28" s="54"/>
      <c r="Z28" s="55"/>
      <c r="AA28" s="55"/>
      <c r="AB28" s="55"/>
      <c r="AC28" s="56"/>
      <c r="AD28" s="52" t="str">
        <f t="shared" si="0"/>
        <v/>
      </c>
      <c r="AE28" s="53"/>
      <c r="AF28" s="53"/>
      <c r="AG28" s="69"/>
      <c r="AH28" s="69"/>
      <c r="AI28" s="70"/>
      <c r="AJ28" s="57">
        <f t="shared" si="1"/>
        <v>0</v>
      </c>
      <c r="AK28" s="58"/>
      <c r="AL28" s="59"/>
      <c r="AN28" s="12">
        <v>10</v>
      </c>
      <c r="AO28" s="12">
        <v>10</v>
      </c>
      <c r="AP28" s="12"/>
      <c r="AQ28" s="12"/>
      <c r="AR28" s="12"/>
    </row>
    <row r="29" spans="1:44" ht="21.95" customHeight="1" x14ac:dyDescent="0.3">
      <c r="A29" s="21"/>
      <c r="B29" s="24"/>
      <c r="C29" s="66"/>
      <c r="D29" s="66"/>
      <c r="E29" s="66"/>
      <c r="F29" s="66"/>
      <c r="G29" s="66"/>
      <c r="H29" s="66"/>
      <c r="I29" s="67"/>
      <c r="J29" s="68"/>
      <c r="K29" s="71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3"/>
      <c r="Y29" s="54"/>
      <c r="Z29" s="55"/>
      <c r="AA29" s="55"/>
      <c r="AB29" s="55"/>
      <c r="AC29" s="56"/>
      <c r="AD29" s="52" t="str">
        <f t="shared" si="0"/>
        <v/>
      </c>
      <c r="AE29" s="53"/>
      <c r="AF29" s="53"/>
      <c r="AG29" s="69"/>
      <c r="AH29" s="69"/>
      <c r="AI29" s="70"/>
      <c r="AJ29" s="57">
        <f t="shared" si="1"/>
        <v>0</v>
      </c>
      <c r="AK29" s="58"/>
      <c r="AL29" s="59"/>
      <c r="AN29" s="12">
        <v>11</v>
      </c>
      <c r="AO29" s="12">
        <v>11</v>
      </c>
      <c r="AP29" s="12"/>
      <c r="AQ29" s="12"/>
      <c r="AR29" s="12"/>
    </row>
    <row r="30" spans="1:44" ht="21.95" customHeight="1" x14ac:dyDescent="0.3">
      <c r="A30" s="21"/>
      <c r="B30" s="24"/>
      <c r="C30" s="66"/>
      <c r="D30" s="66"/>
      <c r="E30" s="66"/>
      <c r="F30" s="66"/>
      <c r="G30" s="66"/>
      <c r="H30" s="66"/>
      <c r="I30" s="67"/>
      <c r="J30" s="68"/>
      <c r="K30" s="71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3"/>
      <c r="Y30" s="54"/>
      <c r="Z30" s="55"/>
      <c r="AA30" s="55"/>
      <c r="AB30" s="55"/>
      <c r="AC30" s="56"/>
      <c r="AD30" s="52" t="str">
        <f t="shared" si="0"/>
        <v/>
      </c>
      <c r="AE30" s="53"/>
      <c r="AF30" s="53"/>
      <c r="AG30" s="69"/>
      <c r="AH30" s="69"/>
      <c r="AI30" s="70"/>
      <c r="AJ30" s="57">
        <f t="shared" si="1"/>
        <v>0</v>
      </c>
      <c r="AK30" s="58"/>
      <c r="AL30" s="59"/>
      <c r="AN30" s="12">
        <v>12</v>
      </c>
      <c r="AO30" s="12">
        <v>12</v>
      </c>
      <c r="AP30" s="12"/>
      <c r="AQ30" s="12"/>
      <c r="AR30" s="12"/>
    </row>
    <row r="31" spans="1:44" ht="21.95" customHeight="1" x14ac:dyDescent="0.3">
      <c r="A31" s="21"/>
      <c r="B31" s="24"/>
      <c r="C31" s="66"/>
      <c r="D31" s="66"/>
      <c r="E31" s="66"/>
      <c r="F31" s="66"/>
      <c r="G31" s="66"/>
      <c r="H31" s="66"/>
      <c r="I31" s="67"/>
      <c r="J31" s="68"/>
      <c r="K31" s="71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3"/>
      <c r="Y31" s="54"/>
      <c r="Z31" s="55"/>
      <c r="AA31" s="55"/>
      <c r="AB31" s="55"/>
      <c r="AC31" s="56"/>
      <c r="AD31" s="52" t="str">
        <f t="shared" si="0"/>
        <v/>
      </c>
      <c r="AE31" s="53"/>
      <c r="AF31" s="53"/>
      <c r="AG31" s="69"/>
      <c r="AH31" s="69"/>
      <c r="AI31" s="70"/>
      <c r="AJ31" s="57">
        <f t="shared" si="1"/>
        <v>0</v>
      </c>
      <c r="AK31" s="58"/>
      <c r="AL31" s="59"/>
      <c r="AM31" s="30"/>
      <c r="AN31" s="12"/>
      <c r="AO31" s="12">
        <v>13</v>
      </c>
      <c r="AP31" s="12"/>
      <c r="AQ31" s="12"/>
      <c r="AR31" s="12"/>
    </row>
    <row r="32" spans="1:44" ht="21.95" customHeight="1" x14ac:dyDescent="0.3">
      <c r="A32" s="21"/>
      <c r="B32" s="24"/>
      <c r="C32" s="66"/>
      <c r="D32" s="66"/>
      <c r="E32" s="66"/>
      <c r="F32" s="66"/>
      <c r="G32" s="66"/>
      <c r="H32" s="66"/>
      <c r="I32" s="67"/>
      <c r="J32" s="68"/>
      <c r="K32" s="71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3"/>
      <c r="Y32" s="54"/>
      <c r="Z32" s="55"/>
      <c r="AA32" s="55"/>
      <c r="AB32" s="55"/>
      <c r="AC32" s="56"/>
      <c r="AD32" s="52" t="str">
        <f t="shared" si="0"/>
        <v/>
      </c>
      <c r="AE32" s="53"/>
      <c r="AF32" s="53"/>
      <c r="AG32" s="69"/>
      <c r="AH32" s="69"/>
      <c r="AI32" s="70"/>
      <c r="AJ32" s="57">
        <f t="shared" si="1"/>
        <v>0</v>
      </c>
      <c r="AK32" s="58"/>
      <c r="AL32" s="59"/>
      <c r="AM32" s="30"/>
      <c r="AN32" s="12"/>
      <c r="AO32" s="12">
        <v>14</v>
      </c>
      <c r="AP32" s="12"/>
      <c r="AQ32" s="12"/>
      <c r="AR32" s="12"/>
    </row>
    <row r="33" spans="1:45" ht="21.95" customHeight="1" x14ac:dyDescent="0.3">
      <c r="A33" s="21"/>
      <c r="B33" s="24"/>
      <c r="C33" s="66"/>
      <c r="D33" s="66"/>
      <c r="E33" s="66"/>
      <c r="F33" s="66"/>
      <c r="G33" s="66"/>
      <c r="H33" s="66"/>
      <c r="I33" s="67"/>
      <c r="J33" s="68"/>
      <c r="K33" s="71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3"/>
      <c r="Y33" s="54"/>
      <c r="Z33" s="55"/>
      <c r="AA33" s="55"/>
      <c r="AB33" s="55"/>
      <c r="AC33" s="56"/>
      <c r="AD33" s="52" t="str">
        <f t="shared" si="0"/>
        <v/>
      </c>
      <c r="AE33" s="53"/>
      <c r="AF33" s="53"/>
      <c r="AG33" s="69"/>
      <c r="AH33" s="69"/>
      <c r="AI33" s="70"/>
      <c r="AJ33" s="57">
        <f t="shared" si="1"/>
        <v>0</v>
      </c>
      <c r="AK33" s="58"/>
      <c r="AL33" s="59"/>
      <c r="AM33" s="30"/>
      <c r="AN33" s="12"/>
      <c r="AO33" s="12">
        <v>15</v>
      </c>
      <c r="AP33" s="12"/>
      <c r="AQ33" s="12"/>
      <c r="AR33" s="12"/>
    </row>
    <row r="34" spans="1:45" ht="21.95" customHeight="1" x14ac:dyDescent="0.3">
      <c r="A34" s="21"/>
      <c r="B34" s="24"/>
      <c r="C34" s="79"/>
      <c r="D34" s="120"/>
      <c r="E34" s="121"/>
      <c r="F34" s="79"/>
      <c r="G34" s="120"/>
      <c r="H34" s="121"/>
      <c r="I34" s="67"/>
      <c r="J34" s="68"/>
      <c r="K34" s="71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3"/>
      <c r="Y34" s="54"/>
      <c r="Z34" s="55"/>
      <c r="AA34" s="55"/>
      <c r="AB34" s="55"/>
      <c r="AC34" s="56"/>
      <c r="AD34" s="60" t="str">
        <f t="shared" si="0"/>
        <v/>
      </c>
      <c r="AE34" s="61"/>
      <c r="AF34" s="62"/>
      <c r="AG34" s="63"/>
      <c r="AH34" s="64"/>
      <c r="AI34" s="65"/>
      <c r="AJ34" s="57">
        <f t="shared" si="1"/>
        <v>0</v>
      </c>
      <c r="AK34" s="58"/>
      <c r="AL34" s="59"/>
      <c r="AM34" s="30"/>
      <c r="AN34" s="12"/>
      <c r="AO34" s="12">
        <v>16</v>
      </c>
      <c r="AP34" s="12"/>
      <c r="AQ34" s="12"/>
      <c r="AR34" s="12"/>
    </row>
    <row r="35" spans="1:45" ht="21.95" customHeight="1" x14ac:dyDescent="0.3">
      <c r="A35" s="21"/>
      <c r="B35" s="24"/>
      <c r="C35" s="66"/>
      <c r="D35" s="66"/>
      <c r="E35" s="66"/>
      <c r="F35" s="66"/>
      <c r="G35" s="66"/>
      <c r="H35" s="66"/>
      <c r="I35" s="67"/>
      <c r="J35" s="68"/>
      <c r="K35" s="71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3"/>
      <c r="Y35" s="54"/>
      <c r="Z35" s="55"/>
      <c r="AA35" s="55"/>
      <c r="AB35" s="55"/>
      <c r="AC35" s="56"/>
      <c r="AD35" s="52" t="str">
        <f t="shared" si="0"/>
        <v/>
      </c>
      <c r="AE35" s="53"/>
      <c r="AF35" s="53"/>
      <c r="AG35" s="69"/>
      <c r="AH35" s="69"/>
      <c r="AI35" s="70"/>
      <c r="AJ35" s="57">
        <f t="shared" si="1"/>
        <v>0</v>
      </c>
      <c r="AK35" s="58"/>
      <c r="AL35" s="59"/>
      <c r="AM35" s="30"/>
      <c r="AN35" s="12"/>
      <c r="AO35" s="12">
        <v>17</v>
      </c>
      <c r="AP35" s="12"/>
      <c r="AQ35" s="12"/>
      <c r="AR35" s="12"/>
    </row>
    <row r="36" spans="1:45" ht="21.95" customHeight="1" x14ac:dyDescent="0.3">
      <c r="A36" s="21"/>
      <c r="B36" s="24"/>
      <c r="C36" s="66"/>
      <c r="D36" s="66"/>
      <c r="E36" s="66"/>
      <c r="F36" s="66"/>
      <c r="G36" s="66"/>
      <c r="H36" s="66"/>
      <c r="I36" s="67"/>
      <c r="J36" s="68"/>
      <c r="K36" s="71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3"/>
      <c r="Y36" s="54"/>
      <c r="Z36" s="55"/>
      <c r="AA36" s="55"/>
      <c r="AB36" s="55"/>
      <c r="AC36" s="56"/>
      <c r="AD36" s="52" t="str">
        <f t="shared" si="0"/>
        <v/>
      </c>
      <c r="AE36" s="53"/>
      <c r="AF36" s="53"/>
      <c r="AG36" s="69"/>
      <c r="AH36" s="69"/>
      <c r="AI36" s="70"/>
      <c r="AJ36" s="57">
        <f t="shared" si="1"/>
        <v>0</v>
      </c>
      <c r="AK36" s="58"/>
      <c r="AL36" s="59"/>
      <c r="AM36" s="30"/>
      <c r="AN36" s="12"/>
      <c r="AO36" s="12">
        <v>18</v>
      </c>
      <c r="AP36" s="12"/>
      <c r="AQ36" s="12"/>
      <c r="AR36" s="12"/>
    </row>
    <row r="37" spans="1:45" ht="21.95" customHeight="1" x14ac:dyDescent="0.3">
      <c r="A37" s="21"/>
      <c r="B37" s="24"/>
      <c r="C37" s="66"/>
      <c r="D37" s="66"/>
      <c r="E37" s="66"/>
      <c r="F37" s="66"/>
      <c r="G37" s="66"/>
      <c r="H37" s="66"/>
      <c r="I37" s="67"/>
      <c r="J37" s="68"/>
      <c r="K37" s="71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3"/>
      <c r="Y37" s="54"/>
      <c r="Z37" s="55"/>
      <c r="AA37" s="55"/>
      <c r="AB37" s="55"/>
      <c r="AC37" s="56"/>
      <c r="AD37" s="52" t="str">
        <f t="shared" si="0"/>
        <v/>
      </c>
      <c r="AE37" s="53"/>
      <c r="AF37" s="53"/>
      <c r="AG37" s="69"/>
      <c r="AH37" s="69"/>
      <c r="AI37" s="70"/>
      <c r="AJ37" s="57">
        <f t="shared" si="1"/>
        <v>0</v>
      </c>
      <c r="AK37" s="58"/>
      <c r="AL37" s="59"/>
      <c r="AM37" s="30"/>
      <c r="AN37" s="12"/>
      <c r="AO37" s="12">
        <v>19</v>
      </c>
      <c r="AP37" s="12"/>
      <c r="AQ37" s="12"/>
      <c r="AR37" s="12"/>
    </row>
    <row r="38" spans="1:45" ht="21.95" customHeight="1" x14ac:dyDescent="0.3">
      <c r="A38" s="21"/>
      <c r="B38" s="24"/>
      <c r="C38" s="66"/>
      <c r="D38" s="66"/>
      <c r="E38" s="66"/>
      <c r="F38" s="66"/>
      <c r="G38" s="66"/>
      <c r="H38" s="66"/>
      <c r="I38" s="67"/>
      <c r="J38" s="68"/>
      <c r="K38" s="71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3"/>
      <c r="Y38" s="54"/>
      <c r="Z38" s="55"/>
      <c r="AA38" s="55"/>
      <c r="AB38" s="55"/>
      <c r="AC38" s="56"/>
      <c r="AD38" s="52" t="str">
        <f t="shared" si="0"/>
        <v/>
      </c>
      <c r="AE38" s="53"/>
      <c r="AF38" s="53"/>
      <c r="AG38" s="69"/>
      <c r="AH38" s="69"/>
      <c r="AI38" s="70"/>
      <c r="AJ38" s="57">
        <f t="shared" si="1"/>
        <v>0</v>
      </c>
      <c r="AK38" s="58"/>
      <c r="AL38" s="59"/>
      <c r="AM38" s="30"/>
      <c r="AN38" s="12"/>
      <c r="AO38" s="12">
        <v>20</v>
      </c>
      <c r="AP38" s="12"/>
      <c r="AQ38" s="12"/>
      <c r="AR38" s="12"/>
    </row>
    <row r="39" spans="1:45" ht="21.95" customHeight="1" x14ac:dyDescent="0.3">
      <c r="A39" s="21"/>
      <c r="B39" s="24"/>
      <c r="C39" s="66"/>
      <c r="D39" s="66"/>
      <c r="E39" s="66"/>
      <c r="F39" s="66"/>
      <c r="G39" s="66"/>
      <c r="H39" s="66"/>
      <c r="I39" s="67"/>
      <c r="J39" s="68"/>
      <c r="K39" s="71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3"/>
      <c r="Y39" s="54"/>
      <c r="Z39" s="55"/>
      <c r="AA39" s="55"/>
      <c r="AB39" s="55"/>
      <c r="AC39" s="56"/>
      <c r="AD39" s="52" t="str">
        <f t="shared" si="0"/>
        <v/>
      </c>
      <c r="AE39" s="53"/>
      <c r="AF39" s="53"/>
      <c r="AG39" s="69"/>
      <c r="AH39" s="69"/>
      <c r="AI39" s="70"/>
      <c r="AJ39" s="57">
        <f t="shared" si="1"/>
        <v>0</v>
      </c>
      <c r="AK39" s="58"/>
      <c r="AL39" s="59"/>
      <c r="AN39" s="12"/>
      <c r="AO39" s="12">
        <v>21</v>
      </c>
      <c r="AP39" s="12"/>
      <c r="AQ39" s="12"/>
      <c r="AR39" s="12"/>
    </row>
    <row r="40" spans="1:45" ht="21.95" customHeight="1" x14ac:dyDescent="0.3">
      <c r="A40" s="21"/>
      <c r="B40" s="24"/>
      <c r="C40" s="66"/>
      <c r="D40" s="66"/>
      <c r="E40" s="66"/>
      <c r="F40" s="66"/>
      <c r="G40" s="66"/>
      <c r="H40" s="66"/>
      <c r="I40" s="67"/>
      <c r="J40" s="68"/>
      <c r="K40" s="71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3"/>
      <c r="Y40" s="54"/>
      <c r="Z40" s="55"/>
      <c r="AA40" s="55"/>
      <c r="AB40" s="55"/>
      <c r="AC40" s="56"/>
      <c r="AD40" s="52" t="str">
        <f t="shared" si="0"/>
        <v/>
      </c>
      <c r="AE40" s="53"/>
      <c r="AF40" s="53"/>
      <c r="AG40" s="69"/>
      <c r="AH40" s="69"/>
      <c r="AI40" s="70"/>
      <c r="AJ40" s="57">
        <f t="shared" si="1"/>
        <v>0</v>
      </c>
      <c r="AK40" s="58"/>
      <c r="AL40" s="59"/>
      <c r="AN40" s="12"/>
      <c r="AO40" s="12">
        <v>22</v>
      </c>
      <c r="AP40" s="12"/>
      <c r="AQ40" s="12"/>
      <c r="AR40" s="12"/>
    </row>
    <row r="41" spans="1:45" s="33" customFormat="1" ht="21.95" customHeight="1" x14ac:dyDescent="0.3"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AN41" s="12"/>
      <c r="AO41" s="12">
        <v>23</v>
      </c>
      <c r="AP41" s="12"/>
      <c r="AQ41" s="12"/>
      <c r="AR41" s="12"/>
    </row>
    <row r="42" spans="1:45" ht="9.9499999999999993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N42" s="12"/>
      <c r="AO42" s="12"/>
      <c r="AP42" s="12"/>
      <c r="AQ42" s="12"/>
      <c r="AR42" s="12"/>
      <c r="AS42" s="34"/>
    </row>
    <row r="43" spans="1:45" ht="21.95" customHeight="1" x14ac:dyDescent="0.3">
      <c r="A43" s="115" t="s">
        <v>41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7"/>
      <c r="AM43" s="30"/>
      <c r="AN43" s="12"/>
      <c r="AO43" s="12"/>
      <c r="AP43" s="12"/>
      <c r="AQ43" s="12"/>
      <c r="AR43" s="12"/>
      <c r="AS43" s="34"/>
    </row>
    <row r="44" spans="1:45" ht="21.95" customHeight="1" x14ac:dyDescent="0.3">
      <c r="A44" s="112" t="s">
        <v>37</v>
      </c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4"/>
      <c r="AN44" s="12"/>
      <c r="AO44" s="12"/>
      <c r="AP44" s="12"/>
      <c r="AQ44" s="12"/>
      <c r="AR44" s="12"/>
      <c r="AS44" s="34"/>
    </row>
    <row r="45" spans="1:45" ht="21.95" customHeight="1" x14ac:dyDescent="0.3">
      <c r="A45" s="42" t="s">
        <v>38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4"/>
      <c r="AN45" s="12"/>
      <c r="AO45" s="12"/>
      <c r="AP45" s="12"/>
      <c r="AQ45" s="12"/>
      <c r="AR45" s="12"/>
    </row>
    <row r="46" spans="1:45" ht="21.95" customHeight="1" x14ac:dyDescent="0.3">
      <c r="A46" s="45" t="s">
        <v>39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7"/>
      <c r="AN46" s="12"/>
      <c r="AO46" s="12"/>
      <c r="AP46" s="12"/>
      <c r="AQ46" s="12"/>
      <c r="AR46" s="12"/>
    </row>
    <row r="47" spans="1:45" ht="21.95" customHeight="1" x14ac:dyDescent="0.3">
      <c r="A47" s="48" t="s">
        <v>40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50"/>
      <c r="R47" s="50"/>
      <c r="S47" s="50"/>
      <c r="T47" s="50"/>
      <c r="U47" s="50"/>
      <c r="V47" s="50"/>
      <c r="W47" s="50"/>
      <c r="X47" s="111"/>
      <c r="Y47" s="111"/>
      <c r="Z47" s="111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1"/>
      <c r="AN47" s="12"/>
      <c r="AO47" s="12"/>
      <c r="AP47" s="12"/>
      <c r="AQ47" s="12"/>
      <c r="AR47" s="12"/>
    </row>
    <row r="48" spans="1:45" ht="24" customHeight="1" x14ac:dyDescent="0.3">
      <c r="A48" s="1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24.9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 ht="24.9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24.9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 ht="24.9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24.9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24.9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24.9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24.9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spans="1:38" ht="24.9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38" ht="24.9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 spans="1:38" ht="24.9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 spans="1:38" ht="24.9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spans="1:38" ht="24.9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spans="1:38" ht="24.9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spans="1:38" ht="24.9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 spans="1:38" ht="24.9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 spans="1:38" ht="24.9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spans="1:38" ht="24.9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 spans="1:38" ht="24.9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spans="1:38" ht="24.9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spans="1:38" ht="24.9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 spans="1:38" ht="24.9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</sheetData>
  <mergeCells count="240">
    <mergeCell ref="K36:X36"/>
    <mergeCell ref="Y36:AC36"/>
    <mergeCell ref="AD36:AF36"/>
    <mergeCell ref="AG36:AI36"/>
    <mergeCell ref="AJ36:AL36"/>
    <mergeCell ref="C37:E37"/>
    <mergeCell ref="F37:H37"/>
    <mergeCell ref="I37:J37"/>
    <mergeCell ref="K37:X37"/>
    <mergeCell ref="Y37:AC37"/>
    <mergeCell ref="AD37:AF37"/>
    <mergeCell ref="AG37:AI37"/>
    <mergeCell ref="AJ37:AL37"/>
    <mergeCell ref="C32:E32"/>
    <mergeCell ref="F32:H32"/>
    <mergeCell ref="I32:J32"/>
    <mergeCell ref="K32:X32"/>
    <mergeCell ref="Y32:AC32"/>
    <mergeCell ref="AD32:AF32"/>
    <mergeCell ref="AG32:AI32"/>
    <mergeCell ref="AJ32:AL32"/>
    <mergeCell ref="C35:E35"/>
    <mergeCell ref="F35:H35"/>
    <mergeCell ref="I35:J35"/>
    <mergeCell ref="K35:X35"/>
    <mergeCell ref="Y35:AC35"/>
    <mergeCell ref="AD35:AF35"/>
    <mergeCell ref="AG35:AI35"/>
    <mergeCell ref="AJ35:AL35"/>
    <mergeCell ref="C34:E34"/>
    <mergeCell ref="F34:H34"/>
    <mergeCell ref="I34:J34"/>
    <mergeCell ref="O7:P7"/>
    <mergeCell ref="I21:J21"/>
    <mergeCell ref="I22:J22"/>
    <mergeCell ref="I23:J23"/>
    <mergeCell ref="I24:J24"/>
    <mergeCell ref="I25:J25"/>
    <mergeCell ref="I26:J26"/>
    <mergeCell ref="I27:J27"/>
    <mergeCell ref="I28:J28"/>
    <mergeCell ref="AD23:AF23"/>
    <mergeCell ref="AG23:AI23"/>
    <mergeCell ref="AJ23:AL23"/>
    <mergeCell ref="L14:P14"/>
    <mergeCell ref="L15:P15"/>
    <mergeCell ref="Q14:U14"/>
    <mergeCell ref="Q15:U15"/>
    <mergeCell ref="I19:J19"/>
    <mergeCell ref="I20:J20"/>
    <mergeCell ref="Y19:AC19"/>
    <mergeCell ref="Y20:AC20"/>
    <mergeCell ref="Y21:AC21"/>
    <mergeCell ref="K22:X22"/>
    <mergeCell ref="Y22:AC22"/>
    <mergeCell ref="K23:X23"/>
    <mergeCell ref="Y23:AC23"/>
    <mergeCell ref="AD22:AF22"/>
    <mergeCell ref="AD21:AF21"/>
    <mergeCell ref="AD19:AF19"/>
    <mergeCell ref="AD20:AF20"/>
    <mergeCell ref="Q16:U16"/>
    <mergeCell ref="Y18:AC18"/>
    <mergeCell ref="AG26:AI26"/>
    <mergeCell ref="AJ26:AL26"/>
    <mergeCell ref="C27:E27"/>
    <mergeCell ref="F27:H27"/>
    <mergeCell ref="AD27:AF27"/>
    <mergeCell ref="AG27:AI27"/>
    <mergeCell ref="AJ27:AL27"/>
    <mergeCell ref="C26:E26"/>
    <mergeCell ref="AD24:AF24"/>
    <mergeCell ref="AD26:AF26"/>
    <mergeCell ref="AG24:AI24"/>
    <mergeCell ref="AJ24:AL24"/>
    <mergeCell ref="AD25:AF25"/>
    <mergeCell ref="AG25:AI25"/>
    <mergeCell ref="AJ25:AL25"/>
    <mergeCell ref="K24:X24"/>
    <mergeCell ref="Y24:AC24"/>
    <mergeCell ref="K25:X25"/>
    <mergeCell ref="Y25:AC25"/>
    <mergeCell ref="K26:X26"/>
    <mergeCell ref="Y26:AC26"/>
    <mergeCell ref="K27:X27"/>
    <mergeCell ref="Y27:AC27"/>
    <mergeCell ref="F26:H26"/>
    <mergeCell ref="C22:E22"/>
    <mergeCell ref="F22:H22"/>
    <mergeCell ref="AG19:AI19"/>
    <mergeCell ref="AJ19:AL19"/>
    <mergeCell ref="F21:H21"/>
    <mergeCell ref="AG20:AI20"/>
    <mergeCell ref="AJ20:AL20"/>
    <mergeCell ref="AG21:AI21"/>
    <mergeCell ref="AJ21:AL21"/>
    <mergeCell ref="AG22:AI22"/>
    <mergeCell ref="AJ22:AL22"/>
    <mergeCell ref="O50:W50"/>
    <mergeCell ref="X50:Z50"/>
    <mergeCell ref="O51:W51"/>
    <mergeCell ref="X51:Z51"/>
    <mergeCell ref="X47:Z47"/>
    <mergeCell ref="O49:W49"/>
    <mergeCell ref="X49:Z49"/>
    <mergeCell ref="AD40:AF40"/>
    <mergeCell ref="AG40:AI40"/>
    <mergeCell ref="A44:AL44"/>
    <mergeCell ref="A43:AL43"/>
    <mergeCell ref="B41:F41"/>
    <mergeCell ref="G41:K41"/>
    <mergeCell ref="L41:P41"/>
    <mergeCell ref="Q41:U41"/>
    <mergeCell ref="O52:W52"/>
    <mergeCell ref="X52:Z52"/>
    <mergeCell ref="O53:W53"/>
    <mergeCell ref="X53:Z53"/>
    <mergeCell ref="O54:W54"/>
    <mergeCell ref="X54:Z54"/>
    <mergeCell ref="O55:W55"/>
    <mergeCell ref="X55:Z55"/>
    <mergeCell ref="O56:W56"/>
    <mergeCell ref="X56:Z56"/>
    <mergeCell ref="A2:AL4"/>
    <mergeCell ref="AD17:AL17"/>
    <mergeCell ref="AD18:AF18"/>
    <mergeCell ref="AG18:AI18"/>
    <mergeCell ref="AJ18:AL18"/>
    <mergeCell ref="AB5:AC5"/>
    <mergeCell ref="AD5:AF5"/>
    <mergeCell ref="AG5:AI5"/>
    <mergeCell ref="AJ5:AL5"/>
    <mergeCell ref="A17:H17"/>
    <mergeCell ref="I17:AC17"/>
    <mergeCell ref="I18:J18"/>
    <mergeCell ref="B15:F15"/>
    <mergeCell ref="B14:F14"/>
    <mergeCell ref="G14:K14"/>
    <mergeCell ref="G15:K15"/>
    <mergeCell ref="A7:G7"/>
    <mergeCell ref="A6:G6"/>
    <mergeCell ref="A11:G11"/>
    <mergeCell ref="A12:G12"/>
    <mergeCell ref="H12:N12"/>
    <mergeCell ref="H11:N11"/>
    <mergeCell ref="H7:N7"/>
    <mergeCell ref="H6:N6"/>
    <mergeCell ref="AJ28:AL28"/>
    <mergeCell ref="C29:E29"/>
    <mergeCell ref="F29:H29"/>
    <mergeCell ref="AD29:AF29"/>
    <mergeCell ref="AG29:AI29"/>
    <mergeCell ref="AJ29:AL29"/>
    <mergeCell ref="C28:E28"/>
    <mergeCell ref="F28:H28"/>
    <mergeCell ref="K28:X28"/>
    <mergeCell ref="Y28:AC28"/>
    <mergeCell ref="K29:X29"/>
    <mergeCell ref="Y29:AC29"/>
    <mergeCell ref="AD28:AF28"/>
    <mergeCell ref="AG28:AI28"/>
    <mergeCell ref="I29:J29"/>
    <mergeCell ref="AJ39:AL39"/>
    <mergeCell ref="AJ40:AL40"/>
    <mergeCell ref="AD30:AF30"/>
    <mergeCell ref="AG30:AI30"/>
    <mergeCell ref="AJ30:AL30"/>
    <mergeCell ref="C30:E30"/>
    <mergeCell ref="F30:H30"/>
    <mergeCell ref="K30:X30"/>
    <mergeCell ref="Y30:AC30"/>
    <mergeCell ref="AD39:AF39"/>
    <mergeCell ref="AG39:AI39"/>
    <mergeCell ref="I30:J30"/>
    <mergeCell ref="I39:J39"/>
    <mergeCell ref="I40:J40"/>
    <mergeCell ref="C31:E31"/>
    <mergeCell ref="F31:H31"/>
    <mergeCell ref="I31:J31"/>
    <mergeCell ref="AD38:AF38"/>
    <mergeCell ref="AG38:AI38"/>
    <mergeCell ref="AJ38:AL38"/>
    <mergeCell ref="Y39:AC39"/>
    <mergeCell ref="Y40:AC40"/>
    <mergeCell ref="AD31:AF31"/>
    <mergeCell ref="AG31:AI31"/>
    <mergeCell ref="A10:G10"/>
    <mergeCell ref="H10:N10"/>
    <mergeCell ref="A8:G8"/>
    <mergeCell ref="H8:N8"/>
    <mergeCell ref="C25:E25"/>
    <mergeCell ref="F25:H25"/>
    <mergeCell ref="C24:E24"/>
    <mergeCell ref="C23:E23"/>
    <mergeCell ref="C18:E18"/>
    <mergeCell ref="F18:H18"/>
    <mergeCell ref="C19:E19"/>
    <mergeCell ref="F19:H19"/>
    <mergeCell ref="C20:E20"/>
    <mergeCell ref="F20:H20"/>
    <mergeCell ref="C21:E21"/>
    <mergeCell ref="F24:H24"/>
    <mergeCell ref="F23:H23"/>
    <mergeCell ref="B16:F16"/>
    <mergeCell ref="G16:K16"/>
    <mergeCell ref="L16:P16"/>
    <mergeCell ref="K19:X19"/>
    <mergeCell ref="K20:X20"/>
    <mergeCell ref="K21:X21"/>
    <mergeCell ref="K18:X18"/>
    <mergeCell ref="F39:H39"/>
    <mergeCell ref="C40:E40"/>
    <mergeCell ref="F40:H40"/>
    <mergeCell ref="C38:E38"/>
    <mergeCell ref="F38:H38"/>
    <mergeCell ref="I38:J38"/>
    <mergeCell ref="C36:E36"/>
    <mergeCell ref="F36:H36"/>
    <mergeCell ref="I36:J36"/>
    <mergeCell ref="K39:X39"/>
    <mergeCell ref="K40:X40"/>
    <mergeCell ref="K38:X38"/>
    <mergeCell ref="C39:E39"/>
    <mergeCell ref="Y38:AC38"/>
    <mergeCell ref="AJ31:AL31"/>
    <mergeCell ref="AD34:AF34"/>
    <mergeCell ref="AG34:AI34"/>
    <mergeCell ref="AJ34:AL34"/>
    <mergeCell ref="C33:E33"/>
    <mergeCell ref="F33:H33"/>
    <mergeCell ref="I33:J33"/>
    <mergeCell ref="AD33:AF33"/>
    <mergeCell ref="AG33:AI33"/>
    <mergeCell ref="AJ33:AL33"/>
    <mergeCell ref="K31:X31"/>
    <mergeCell ref="Y31:AC31"/>
    <mergeCell ref="K33:X33"/>
    <mergeCell ref="Y33:AC33"/>
    <mergeCell ref="K34:X34"/>
    <mergeCell ref="Y34:AC34"/>
  </mergeCells>
  <phoneticPr fontId="1" type="noConversion"/>
  <dataValidations disablePrompts="1" count="8">
    <dataValidation type="list" allowBlank="1" showInputMessage="1" showErrorMessage="1" sqref="A19:A40" xr:uid="{08FE2ED4-351E-476B-AC6C-9AADEB6A3C7E}">
      <formula1>$AN$19:$AN$30</formula1>
    </dataValidation>
    <dataValidation type="whole" allowBlank="1" showInputMessage="1" showErrorMessage="1" errorTitle="정수만 입력하세요" error="정수만 입력하세요" sqref="AG19:AI40" xr:uid="{B9DA0B03-FE78-4A7F-BA71-77DB59DE10CE}">
      <formula1>1</formula1>
      <formula2>999999</formula2>
    </dataValidation>
    <dataValidation type="list" allowBlank="1" showInputMessage="1" showErrorMessage="1" sqref="B15:F16 B41:F41" xr:uid="{59DD4636-221D-4705-82E6-1F1AAADF7CCE}">
      <formula1>$AQ$19:$AQ$21</formula1>
    </dataValidation>
    <dataValidation type="list" allowBlank="1" showInputMessage="1" showErrorMessage="1" sqref="G15:K16 G41:K41" xr:uid="{AED9B6C4-6FA9-4451-B31B-4A1F2B295431}">
      <formula1>$AR$19:$AR$21</formula1>
    </dataValidation>
    <dataValidation allowBlank="1" showInputMessage="1" showErrorMessage="1" errorTitle="정수만 입력하세요" error="정수만 입력하세요" sqref="Y19:Y40" xr:uid="{997EA2B6-A5C8-4649-B6D3-FEE3C0046C04}"/>
    <dataValidation type="date" allowBlank="1" showInputMessage="1" showErrorMessage="1" errorTitle="연도-월-일자 입력해주세요" error="연도-월-일자 입력해주세요" sqref="H10:L10 H6:L6" xr:uid="{360D0349-916C-45A9-B058-B780269208FE}">
      <formula1>36161</formula1>
      <formula2>2958465</formula2>
    </dataValidation>
    <dataValidation type="list" allowBlank="1" showInputMessage="1" showErrorMessage="1" sqref="H10:L10" xr:uid="{CC37E456-E7A8-49C4-8B5A-35797040D2D1}">
      <formula1>$AP$19:$AP$20</formula1>
    </dataValidation>
    <dataValidation type="list" allowBlank="1" showInputMessage="1" showErrorMessage="1" sqref="B19:B40" xr:uid="{05C2557E-F736-4954-A5DE-49B889FF1E8C}">
      <formula1>$AO$19:$AO$42</formula1>
    </dataValidation>
  </dataValidations>
  <pageMargins left="0.39370078740157483" right="0.39370078740157483" top="0.59055118110236227" bottom="0.59055118110236227" header="0.31496062992125984" footer="0.31496062992125984"/>
  <pageSetup paperSize="9" scale="66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본문</vt:lpstr>
      <vt:lpstr>본문!Print_Area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JISEOKCHOI</dc:creator>
  <cp:lastModifiedBy>JISEOKCHOI</cp:lastModifiedBy>
  <cp:lastPrinted>2025-06-24T08:28:21Z</cp:lastPrinted>
  <dcterms:created xsi:type="dcterms:W3CDTF">2022-07-19T01:45:05Z</dcterms:created>
  <dcterms:modified xsi:type="dcterms:W3CDTF">2026-08-11T06:37:53Z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